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2083179\Desktop\"/>
    </mc:Choice>
  </mc:AlternateContent>
  <xr:revisionPtr revIDLastSave="0" documentId="13_ncr:1_{1CD9BE4A-BFB1-42FB-90C4-F2E09ACCDB5A}" xr6:coauthVersionLast="47" xr6:coauthVersionMax="47" xr10:uidLastSave="{00000000-0000-0000-0000-000000000000}"/>
  <bookViews>
    <workbookView xWindow="-120" yWindow="-120" windowWidth="20730" windowHeight="11040" xr2:uid="{ABDAA4AF-B5C0-4285-8399-6F71623F0E78}"/>
  </bookViews>
  <sheets>
    <sheet name="Overall Summary Snapshot" sheetId="1" r:id="rId1"/>
    <sheet name="Detailed" sheetId="2" state="hidden" r:id="rId2"/>
    <sheet name="Detailed New-backup" sheetId="7" state="hidden" r:id="rId3"/>
    <sheet name="Detailed New" sheetId="6" r:id="rId4"/>
    <sheet name="Risks" sheetId="3" r:id="rId5"/>
  </sheets>
  <definedNames>
    <definedName name="_xlnm.Print_Area" localSheetId="3">'Detailed New'!$B$2:$BF$71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4" i="6" l="1"/>
  <c r="BD44" i="6"/>
  <c r="BC44" i="6"/>
  <c r="BB44" i="6"/>
  <c r="AU44" i="6"/>
  <c r="AT44" i="6"/>
  <c r="AS44" i="6"/>
  <c r="AR44" i="6"/>
  <c r="AP44" i="6"/>
  <c r="AO44" i="6"/>
  <c r="AN44" i="6"/>
  <c r="AM44" i="6"/>
  <c r="K42" i="6"/>
  <c r="AI36" i="6" l="1"/>
  <c r="AI35" i="6"/>
  <c r="AI34" i="6"/>
  <c r="AI33" i="6" l="1"/>
  <c r="AI20" i="1" l="1"/>
  <c r="AJ20" i="1" s="1"/>
  <c r="AJ19" i="1" l="1"/>
  <c r="AK20" i="1"/>
  <c r="AI19" i="1"/>
  <c r="AL20" i="1" l="1"/>
  <c r="AK19" i="1"/>
  <c r="AM20" i="1" l="1"/>
  <c r="AL19" i="1"/>
  <c r="AH19" i="1"/>
  <c r="AH20" i="1"/>
  <c r="AN20" i="1" l="1"/>
  <c r="AM19" i="1"/>
  <c r="G29" i="6"/>
  <c r="I7" i="7"/>
  <c r="J7" i="7"/>
  <c r="K7" i="7"/>
  <c r="G7" i="7" s="1"/>
  <c r="L7" i="7"/>
  <c r="N7" i="7"/>
  <c r="O7" i="7"/>
  <c r="P7" i="7"/>
  <c r="Q7" i="7"/>
  <c r="S7" i="7"/>
  <c r="T7" i="7"/>
  <c r="U7" i="7"/>
  <c r="V7" i="7"/>
  <c r="H7" i="7" s="1"/>
  <c r="Y7" i="7"/>
  <c r="Z7" i="7"/>
  <c r="AA7" i="7"/>
  <c r="AC7" i="7"/>
  <c r="AE7" i="7"/>
  <c r="AF7" i="7"/>
  <c r="AH7" i="7"/>
  <c r="AI7" i="7"/>
  <c r="AJ7" i="7"/>
  <c r="AK7" i="7"/>
  <c r="AM7" i="7"/>
  <c r="AN7" i="7"/>
  <c r="AO7" i="7"/>
  <c r="AP7" i="7"/>
  <c r="AR7" i="7"/>
  <c r="AS7" i="7"/>
  <c r="AT7" i="7"/>
  <c r="AU7" i="7"/>
  <c r="AW7" i="7"/>
  <c r="AX7" i="7"/>
  <c r="AY7" i="7"/>
  <c r="AZ7" i="7"/>
  <c r="BB7" i="7"/>
  <c r="BC7" i="7"/>
  <c r="BD7" i="7"/>
  <c r="BE7" i="7"/>
  <c r="D8" i="7"/>
  <c r="E8" i="7"/>
  <c r="F8" i="7"/>
  <c r="G8" i="7"/>
  <c r="H8" i="7"/>
  <c r="C9" i="7"/>
  <c r="E9" i="7"/>
  <c r="D9" i="7" s="1"/>
  <c r="F9" i="7"/>
  <c r="G9" i="7"/>
  <c r="G13" i="7" s="1"/>
  <c r="H9" i="7"/>
  <c r="H13" i="7" s="1"/>
  <c r="C10" i="7"/>
  <c r="E10" i="7"/>
  <c r="G10" i="7"/>
  <c r="H10" i="7"/>
  <c r="AD10" i="7"/>
  <c r="AD7" i="7" s="1"/>
  <c r="F11" i="7"/>
  <c r="G11" i="7"/>
  <c r="H11" i="7"/>
  <c r="X11" i="7"/>
  <c r="X13" i="7" s="1"/>
  <c r="G12" i="7"/>
  <c r="H12" i="7"/>
  <c r="X12" i="7"/>
  <c r="E12" i="7" s="1"/>
  <c r="Y12" i="7"/>
  <c r="Y13" i="7" s="1"/>
  <c r="I13" i="7"/>
  <c r="J13" i="7"/>
  <c r="K13" i="7"/>
  <c r="L13" i="7"/>
  <c r="N13" i="7"/>
  <c r="O13" i="7"/>
  <c r="P13" i="7"/>
  <c r="Q13" i="7"/>
  <c r="S13" i="7"/>
  <c r="T13" i="7"/>
  <c r="U13" i="7"/>
  <c r="V13" i="7"/>
  <c r="Z13" i="7"/>
  <c r="AA13" i="7"/>
  <c r="AC13" i="7"/>
  <c r="AD13" i="7"/>
  <c r="AE13" i="7"/>
  <c r="AF13" i="7"/>
  <c r="AH13" i="7"/>
  <c r="AI13" i="7"/>
  <c r="AJ13" i="7"/>
  <c r="AK13" i="7"/>
  <c r="AM13" i="7"/>
  <c r="AN13" i="7"/>
  <c r="AO13" i="7"/>
  <c r="AP13" i="7"/>
  <c r="AR13" i="7"/>
  <c r="AS13" i="7"/>
  <c r="AT13" i="7"/>
  <c r="AU13" i="7"/>
  <c r="AW13" i="7"/>
  <c r="AX13" i="7"/>
  <c r="AY13" i="7"/>
  <c r="AZ13" i="7"/>
  <c r="F14" i="7"/>
  <c r="G14" i="7"/>
  <c r="G19" i="7" s="1"/>
  <c r="H14" i="7"/>
  <c r="H19" i="7" s="1"/>
  <c r="X14" i="7"/>
  <c r="X19" i="7" s="1"/>
  <c r="D15" i="7"/>
  <c r="E15" i="7"/>
  <c r="F15" i="7"/>
  <c r="F19" i="7" s="1"/>
  <c r="G15" i="7"/>
  <c r="H15" i="7"/>
  <c r="X15" i="7"/>
  <c r="F16" i="7"/>
  <c r="G16" i="7"/>
  <c r="H16" i="7"/>
  <c r="X16" i="7"/>
  <c r="E16" i="7" s="1"/>
  <c r="D16" i="7" s="1"/>
  <c r="D17" i="7"/>
  <c r="E17" i="7"/>
  <c r="F17" i="7"/>
  <c r="G17" i="7"/>
  <c r="H17" i="7"/>
  <c r="X17" i="7"/>
  <c r="F18" i="7"/>
  <c r="G18" i="7"/>
  <c r="H18" i="7"/>
  <c r="X18" i="7"/>
  <c r="E18" i="7" s="1"/>
  <c r="D18" i="7" s="1"/>
  <c r="I19" i="7"/>
  <c r="J19" i="7"/>
  <c r="K19" i="7"/>
  <c r="L19" i="7"/>
  <c r="N19" i="7"/>
  <c r="O19" i="7"/>
  <c r="R19" i="7" s="1"/>
  <c r="P19" i="7"/>
  <c r="Q19" i="7"/>
  <c r="S19" i="7"/>
  <c r="T19" i="7"/>
  <c r="U19" i="7"/>
  <c r="V19" i="7"/>
  <c r="Y19" i="7"/>
  <c r="Z19" i="7"/>
  <c r="AA19" i="7"/>
  <c r="AC19" i="7"/>
  <c r="AD19" i="7"/>
  <c r="AE19" i="7"/>
  <c r="AF19" i="7"/>
  <c r="AH19" i="7"/>
  <c r="AI19" i="7"/>
  <c r="AJ19" i="7"/>
  <c r="AK19" i="7"/>
  <c r="AM19" i="7"/>
  <c r="AN19" i="7"/>
  <c r="AO19" i="7"/>
  <c r="AP19" i="7"/>
  <c r="AR19" i="7"/>
  <c r="AS19" i="7"/>
  <c r="AT19" i="7"/>
  <c r="AU19" i="7"/>
  <c r="AW19" i="7"/>
  <c r="AX19" i="7"/>
  <c r="AY19" i="7"/>
  <c r="AZ19" i="7"/>
  <c r="BB19" i="7"/>
  <c r="BC19" i="7"/>
  <c r="BD19" i="7"/>
  <c r="BE19" i="7"/>
  <c r="D20" i="7"/>
  <c r="E20" i="7"/>
  <c r="F20" i="7"/>
  <c r="G20" i="7"/>
  <c r="H20" i="7"/>
  <c r="X20" i="7"/>
  <c r="F21" i="7"/>
  <c r="G21" i="7"/>
  <c r="G25" i="7" s="1"/>
  <c r="H21" i="7"/>
  <c r="H25" i="7" s="1"/>
  <c r="X21" i="7"/>
  <c r="X25" i="7" s="1"/>
  <c r="F22" i="7"/>
  <c r="G22" i="7"/>
  <c r="H22" i="7"/>
  <c r="X22" i="7"/>
  <c r="E22" i="7" s="1"/>
  <c r="D22" i="7" s="1"/>
  <c r="E23" i="7"/>
  <c r="D23" i="7" s="1"/>
  <c r="F23" i="7"/>
  <c r="G23" i="7"/>
  <c r="H23" i="7"/>
  <c r="X23" i="7"/>
  <c r="F24" i="7"/>
  <c r="G24" i="7"/>
  <c r="H24" i="7"/>
  <c r="X24" i="7"/>
  <c r="E24" i="7" s="1"/>
  <c r="D24" i="7" s="1"/>
  <c r="F25" i="7"/>
  <c r="I25" i="7"/>
  <c r="J25" i="7"/>
  <c r="K25" i="7"/>
  <c r="L25" i="7"/>
  <c r="N25" i="7"/>
  <c r="O25" i="7"/>
  <c r="R25" i="7" s="1"/>
  <c r="P25" i="7"/>
  <c r="Q25" i="7"/>
  <c r="S25" i="7"/>
  <c r="T25" i="7"/>
  <c r="U25" i="7"/>
  <c r="V25" i="7"/>
  <c r="Y25" i="7"/>
  <c r="Z25" i="7"/>
  <c r="AA25" i="7"/>
  <c r="AC25" i="7"/>
  <c r="AD25" i="7"/>
  <c r="AE25" i="7"/>
  <c r="AF25" i="7"/>
  <c r="AH25" i="7"/>
  <c r="AI25" i="7"/>
  <c r="AJ25" i="7"/>
  <c r="AK25" i="7"/>
  <c r="AM25" i="7"/>
  <c r="AN25" i="7"/>
  <c r="AO25" i="7"/>
  <c r="AP25" i="7"/>
  <c r="AR25" i="7"/>
  <c r="AS25" i="7"/>
  <c r="AT25" i="7"/>
  <c r="AU25" i="7"/>
  <c r="AW25" i="7"/>
  <c r="AX25" i="7"/>
  <c r="AY25" i="7"/>
  <c r="AZ25" i="7"/>
  <c r="BB25" i="7"/>
  <c r="BC25" i="7"/>
  <c r="BD25" i="7"/>
  <c r="BE25" i="7"/>
  <c r="E26" i="7"/>
  <c r="E31" i="7" s="1"/>
  <c r="F26" i="7"/>
  <c r="F31" i="7" s="1"/>
  <c r="G26" i="7"/>
  <c r="G31" i="7" s="1"/>
  <c r="H26" i="7"/>
  <c r="E27" i="7"/>
  <c r="D27" i="7" s="1"/>
  <c r="F27" i="7"/>
  <c r="G27" i="7"/>
  <c r="H27" i="7"/>
  <c r="H31" i="7" s="1"/>
  <c r="E28" i="7"/>
  <c r="D28" i="7" s="1"/>
  <c r="F28" i="7"/>
  <c r="G28" i="7"/>
  <c r="H28" i="7"/>
  <c r="E29" i="7"/>
  <c r="D29" i="7" s="1"/>
  <c r="F29" i="7"/>
  <c r="G29" i="7"/>
  <c r="H29" i="7"/>
  <c r="E30" i="7"/>
  <c r="D30" i="7" s="1"/>
  <c r="F30" i="7"/>
  <c r="G30" i="7"/>
  <c r="H30" i="7"/>
  <c r="I31" i="7"/>
  <c r="J31" i="7"/>
  <c r="K31" i="7"/>
  <c r="L31" i="7"/>
  <c r="N31" i="7"/>
  <c r="O31" i="7"/>
  <c r="P31" i="7"/>
  <c r="Q31" i="7"/>
  <c r="S31" i="7"/>
  <c r="T31" i="7"/>
  <c r="U31" i="7"/>
  <c r="V31" i="7"/>
  <c r="X31" i="7"/>
  <c r="Y31" i="7"/>
  <c r="Z31" i="7"/>
  <c r="AA31" i="7"/>
  <c r="AC31" i="7"/>
  <c r="AD31" i="7"/>
  <c r="AE31" i="7"/>
  <c r="AF31" i="7"/>
  <c r="AH31" i="7"/>
  <c r="AI31" i="7"/>
  <c r="AJ31" i="7"/>
  <c r="AK31" i="7"/>
  <c r="AM31" i="7"/>
  <c r="AN31" i="7"/>
  <c r="AO31" i="7"/>
  <c r="AP31" i="7"/>
  <c r="AR31" i="7"/>
  <c r="AS31" i="7"/>
  <c r="AT31" i="7"/>
  <c r="AU31" i="7"/>
  <c r="AW31" i="7"/>
  <c r="AX31" i="7"/>
  <c r="AY31" i="7"/>
  <c r="AZ31" i="7"/>
  <c r="E32" i="7"/>
  <c r="E37" i="7" s="1"/>
  <c r="F32" i="7"/>
  <c r="F37" i="7" s="1"/>
  <c r="G32" i="7"/>
  <c r="G37" i="7" s="1"/>
  <c r="H32" i="7"/>
  <c r="H37" i="7" s="1"/>
  <c r="D33" i="7"/>
  <c r="E33" i="7"/>
  <c r="F33" i="7"/>
  <c r="G33" i="7"/>
  <c r="H33" i="7"/>
  <c r="E34" i="7"/>
  <c r="D34" i="7" s="1"/>
  <c r="F34" i="7"/>
  <c r="G34" i="7"/>
  <c r="H34" i="7"/>
  <c r="D35" i="7"/>
  <c r="E35" i="7"/>
  <c r="F35" i="7"/>
  <c r="G35" i="7"/>
  <c r="H35" i="7"/>
  <c r="E36" i="7"/>
  <c r="D36" i="7" s="1"/>
  <c r="F36" i="7"/>
  <c r="G36" i="7"/>
  <c r="H36" i="7"/>
  <c r="I37" i="7"/>
  <c r="J37" i="7"/>
  <c r="K37" i="7"/>
  <c r="L37" i="7"/>
  <c r="N37" i="7"/>
  <c r="O37" i="7"/>
  <c r="P37" i="7"/>
  <c r="Q37" i="7"/>
  <c r="S37" i="7"/>
  <c r="T37" i="7"/>
  <c r="U37" i="7"/>
  <c r="V37" i="7"/>
  <c r="X37" i="7"/>
  <c r="Y37" i="7"/>
  <c r="Z37" i="7"/>
  <c r="AA37" i="7"/>
  <c r="AC37" i="7"/>
  <c r="AD37" i="7"/>
  <c r="AE37" i="7"/>
  <c r="AF37" i="7"/>
  <c r="AH37" i="7"/>
  <c r="AI37" i="7"/>
  <c r="AJ37" i="7"/>
  <c r="AK37" i="7"/>
  <c r="AW37" i="7"/>
  <c r="AX37" i="7"/>
  <c r="AY37" i="7"/>
  <c r="AZ37" i="7"/>
  <c r="E38" i="7"/>
  <c r="E43" i="7" s="1"/>
  <c r="F38" i="7"/>
  <c r="G38" i="7"/>
  <c r="H38" i="7"/>
  <c r="E39" i="7"/>
  <c r="D39" i="7" s="1"/>
  <c r="F39" i="7"/>
  <c r="F43" i="7" s="1"/>
  <c r="G39" i="7"/>
  <c r="G43" i="7" s="1"/>
  <c r="H39" i="7"/>
  <c r="H43" i="7" s="1"/>
  <c r="E40" i="7"/>
  <c r="D40" i="7" s="1"/>
  <c r="F40" i="7"/>
  <c r="G40" i="7"/>
  <c r="H40" i="7"/>
  <c r="E41" i="7"/>
  <c r="D41" i="7" s="1"/>
  <c r="F41" i="7"/>
  <c r="G41" i="7"/>
  <c r="H41" i="7"/>
  <c r="E42" i="7"/>
  <c r="D42" i="7" s="1"/>
  <c r="F42" i="7"/>
  <c r="G42" i="7"/>
  <c r="H42" i="7"/>
  <c r="I43" i="7"/>
  <c r="J43" i="7"/>
  <c r="K43" i="7"/>
  <c r="L43" i="7"/>
  <c r="N43" i="7"/>
  <c r="O43" i="7"/>
  <c r="P43" i="7"/>
  <c r="Q43" i="7"/>
  <c r="S43" i="7"/>
  <c r="T43" i="7"/>
  <c r="U43" i="7"/>
  <c r="V43" i="7"/>
  <c r="X43" i="7"/>
  <c r="Y43" i="7"/>
  <c r="Z43" i="7"/>
  <c r="AA43" i="7"/>
  <c r="AC43" i="7"/>
  <c r="AD43" i="7"/>
  <c r="AE43" i="7"/>
  <c r="AF43" i="7"/>
  <c r="AH43" i="7"/>
  <c r="AI43" i="7"/>
  <c r="AJ43" i="7"/>
  <c r="AK43" i="7"/>
  <c r="AW43" i="7"/>
  <c r="AX43" i="7"/>
  <c r="AY43" i="7"/>
  <c r="AZ43" i="7"/>
  <c r="D44" i="7"/>
  <c r="E44" i="7"/>
  <c r="F44" i="7"/>
  <c r="G44" i="7"/>
  <c r="H44" i="7"/>
  <c r="E45" i="7"/>
  <c r="D45" i="7" s="1"/>
  <c r="F45" i="7"/>
  <c r="F49" i="7" s="1"/>
  <c r="G45" i="7"/>
  <c r="H45" i="7"/>
  <c r="H49" i="7" s="1"/>
  <c r="D46" i="7"/>
  <c r="E46" i="7"/>
  <c r="F46" i="7"/>
  <c r="G46" i="7"/>
  <c r="H46" i="7"/>
  <c r="E47" i="7"/>
  <c r="D47" i="7" s="1"/>
  <c r="F47" i="7"/>
  <c r="G47" i="7"/>
  <c r="H47" i="7"/>
  <c r="D48" i="7"/>
  <c r="E48" i="7"/>
  <c r="F48" i="7"/>
  <c r="G48" i="7"/>
  <c r="H48" i="7"/>
  <c r="G49" i="7"/>
  <c r="S49" i="7"/>
  <c r="T49" i="7"/>
  <c r="U49" i="7"/>
  <c r="V49" i="7"/>
  <c r="AH49" i="7"/>
  <c r="AI49" i="7"/>
  <c r="AJ49" i="7"/>
  <c r="AK49" i="7"/>
  <c r="E50" i="7"/>
  <c r="E55" i="7" s="1"/>
  <c r="D55" i="7" s="1"/>
  <c r="F50" i="7"/>
  <c r="F55" i="7" s="1"/>
  <c r="G50" i="7"/>
  <c r="G55" i="7" s="1"/>
  <c r="H50" i="7"/>
  <c r="E51" i="7"/>
  <c r="D51" i="7" s="1"/>
  <c r="F51" i="7"/>
  <c r="G51" i="7"/>
  <c r="H51" i="7"/>
  <c r="H55" i="7" s="1"/>
  <c r="E52" i="7"/>
  <c r="D52" i="7" s="1"/>
  <c r="F52" i="7"/>
  <c r="G52" i="7"/>
  <c r="H52" i="7"/>
  <c r="E53" i="7"/>
  <c r="D53" i="7" s="1"/>
  <c r="F53" i="7"/>
  <c r="G53" i="7"/>
  <c r="H53" i="7"/>
  <c r="E54" i="7"/>
  <c r="D54" i="7" s="1"/>
  <c r="F54" i="7"/>
  <c r="G54" i="7"/>
  <c r="H54" i="7"/>
  <c r="E56" i="7"/>
  <c r="E61" i="7" s="1"/>
  <c r="D61" i="7" s="1"/>
  <c r="F56" i="7"/>
  <c r="F61" i="7" s="1"/>
  <c r="G56" i="7"/>
  <c r="G61" i="7" s="1"/>
  <c r="H56" i="7"/>
  <c r="H61" i="7" s="1"/>
  <c r="D57" i="7"/>
  <c r="E57" i="7"/>
  <c r="F57" i="7"/>
  <c r="G57" i="7"/>
  <c r="H57" i="7"/>
  <c r="E58" i="7"/>
  <c r="D58" i="7" s="1"/>
  <c r="F58" i="7"/>
  <c r="G58" i="7"/>
  <c r="H58" i="7"/>
  <c r="D59" i="7"/>
  <c r="E59" i="7"/>
  <c r="F59" i="7"/>
  <c r="G59" i="7"/>
  <c r="H59" i="7"/>
  <c r="E60" i="7"/>
  <c r="D60" i="7" s="1"/>
  <c r="F60" i="7"/>
  <c r="G60" i="7"/>
  <c r="H60" i="7"/>
  <c r="E62" i="7"/>
  <c r="E67" i="7" s="1"/>
  <c r="D67" i="7" s="1"/>
  <c r="F62" i="7"/>
  <c r="F67" i="7" s="1"/>
  <c r="G62" i="7"/>
  <c r="G67" i="7" s="1"/>
  <c r="H62" i="7"/>
  <c r="H67" i="7" s="1"/>
  <c r="E63" i="7"/>
  <c r="D63" i="7" s="1"/>
  <c r="F63" i="7"/>
  <c r="G63" i="7"/>
  <c r="H63" i="7"/>
  <c r="E64" i="7"/>
  <c r="D64" i="7" s="1"/>
  <c r="F64" i="7"/>
  <c r="G64" i="7"/>
  <c r="H64" i="7"/>
  <c r="E65" i="7"/>
  <c r="D65" i="7" s="1"/>
  <c r="F65" i="7"/>
  <c r="G65" i="7"/>
  <c r="H65" i="7"/>
  <c r="E66" i="7"/>
  <c r="D66" i="7" s="1"/>
  <c r="F66" i="7"/>
  <c r="G66" i="7"/>
  <c r="H66" i="7"/>
  <c r="E68" i="7"/>
  <c r="D68" i="7" s="1"/>
  <c r="F68" i="7"/>
  <c r="G68" i="7"/>
  <c r="H68" i="7"/>
  <c r="D69" i="7"/>
  <c r="E69" i="7"/>
  <c r="F69" i="7"/>
  <c r="G69" i="7"/>
  <c r="H69" i="7"/>
  <c r="E70" i="7"/>
  <c r="D70" i="7" s="1"/>
  <c r="F70" i="7"/>
  <c r="G70" i="7"/>
  <c r="H70" i="7"/>
  <c r="AO20" i="1" l="1"/>
  <c r="AN19" i="1"/>
  <c r="D31" i="7"/>
  <c r="D43" i="7"/>
  <c r="D37" i="7"/>
  <c r="F7" i="7"/>
  <c r="E7" i="7"/>
  <c r="D7" i="7" s="1"/>
  <c r="D38" i="7"/>
  <c r="D50" i="7"/>
  <c r="E49" i="7"/>
  <c r="D49" i="7" s="1"/>
  <c r="E21" i="7"/>
  <c r="X7" i="7"/>
  <c r="C11" i="7"/>
  <c r="D32" i="7"/>
  <c r="D26" i="7"/>
  <c r="D56" i="7"/>
  <c r="E11" i="7"/>
  <c r="D62" i="7"/>
  <c r="E14" i="7"/>
  <c r="F12" i="7"/>
  <c r="D12" i="7" s="1"/>
  <c r="F10" i="7"/>
  <c r="D10" i="7" s="1"/>
  <c r="BE26" i="6"/>
  <c r="BD26" i="6"/>
  <c r="BC26" i="6"/>
  <c r="BB26" i="6"/>
  <c r="BE20" i="6"/>
  <c r="BD20" i="6"/>
  <c r="BC20" i="6"/>
  <c r="BB20" i="6"/>
  <c r="BE8" i="6"/>
  <c r="BD8" i="6"/>
  <c r="BC8" i="6"/>
  <c r="BB8" i="6"/>
  <c r="AP20" i="1" l="1"/>
  <c r="AO19" i="1"/>
  <c r="BF8" i="6"/>
  <c r="C12" i="7"/>
  <c r="E19" i="7"/>
  <c r="D19" i="7" s="1"/>
  <c r="D14" i="7"/>
  <c r="D21" i="7"/>
  <c r="E25" i="7"/>
  <c r="D25" i="7" s="1"/>
  <c r="E13" i="7"/>
  <c r="D13" i="7" s="1"/>
  <c r="D11" i="7"/>
  <c r="F13" i="7"/>
  <c r="AQ20" i="1" l="1"/>
  <c r="AP19" i="1"/>
  <c r="C14" i="7"/>
  <c r="AQ19" i="1" l="1"/>
  <c r="AR20" i="1"/>
  <c r="C15" i="7"/>
  <c r="AR19" i="1" l="1"/>
  <c r="AS20" i="1"/>
  <c r="C16" i="7"/>
  <c r="AS19" i="1" l="1"/>
  <c r="AT20" i="1"/>
  <c r="C17" i="7"/>
  <c r="AT19" i="1" l="1"/>
  <c r="AU20" i="1"/>
  <c r="C18" i="7"/>
  <c r="AV20" i="1" l="1"/>
  <c r="AU19" i="1"/>
  <c r="C20" i="7"/>
  <c r="AW20" i="1" l="1"/>
  <c r="AV19" i="1"/>
  <c r="C21" i="7"/>
  <c r="AX20" i="1" l="1"/>
  <c r="AW19" i="1"/>
  <c r="C22" i="7"/>
  <c r="C23" i="7" s="1"/>
  <c r="C24" i="7" s="1"/>
  <c r="C26" i="7" s="1"/>
  <c r="C27" i="7" s="1"/>
  <c r="C28" i="7" s="1"/>
  <c r="C29" i="7" s="1"/>
  <c r="C30" i="7" s="1"/>
  <c r="C32" i="7" s="1"/>
  <c r="C33" i="7" s="1"/>
  <c r="C34" i="7" s="1"/>
  <c r="C35" i="7" s="1"/>
  <c r="C36" i="7" s="1"/>
  <c r="C38" i="7" s="1"/>
  <c r="C39" i="7" s="1"/>
  <c r="C40" i="7" s="1"/>
  <c r="C41" i="7" s="1"/>
  <c r="C42" i="7" s="1"/>
  <c r="C44" i="7" s="1"/>
  <c r="C45" i="7" s="1"/>
  <c r="C46" i="7" s="1"/>
  <c r="C47" i="7" s="1"/>
  <c r="C48" i="7" s="1"/>
  <c r="C50" i="7" s="1"/>
  <c r="C51" i="7" s="1"/>
  <c r="C52" i="7" s="1"/>
  <c r="C53" i="7" s="1"/>
  <c r="C54" i="7" s="1"/>
  <c r="C56" i="7" s="1"/>
  <c r="C57" i="7" s="1"/>
  <c r="C58" i="7" s="1"/>
  <c r="C59" i="7" s="1"/>
  <c r="C60" i="7" s="1"/>
  <c r="C62" i="7" s="1"/>
  <c r="C63" i="7" s="1"/>
  <c r="C64" i="7" s="1"/>
  <c r="C65" i="7" s="1"/>
  <c r="C66" i="7" s="1"/>
  <c r="C68" i="7" s="1"/>
  <c r="C69" i="7" s="1"/>
  <c r="C70" i="7" s="1"/>
  <c r="BB5" i="7"/>
  <c r="AF5" i="7"/>
  <c r="P5" i="7"/>
  <c r="AR5" i="7"/>
  <c r="AZ5" i="7"/>
  <c r="Q5" i="7"/>
  <c r="T5" i="7"/>
  <c r="AM5" i="7"/>
  <c r="AC5" i="7"/>
  <c r="BD5" i="7"/>
  <c r="AA5" i="7"/>
  <c r="AP5" i="7"/>
  <c r="AD5" i="7"/>
  <c r="AN5" i="7"/>
  <c r="AO5" i="7"/>
  <c r="AY5" i="7"/>
  <c r="AY20" i="1" l="1"/>
  <c r="AY19" i="1" s="1"/>
  <c r="AX19" i="1"/>
  <c r="AG5" i="7"/>
  <c r="AQ5" i="7"/>
  <c r="I5" i="7"/>
  <c r="Z5" i="7"/>
  <c r="AH5" i="7"/>
  <c r="V5" i="7"/>
  <c r="S5" i="7"/>
  <c r="W5" i="7" s="1"/>
  <c r="K5" i="7"/>
  <c r="O5" i="7"/>
  <c r="Y5" i="7"/>
  <c r="AT5" i="7"/>
  <c r="BC5" i="7"/>
  <c r="BF5" i="7" s="1"/>
  <c r="AS5" i="7"/>
  <c r="AV5" i="7" s="1"/>
  <c r="AW5" i="7"/>
  <c r="BE5" i="7"/>
  <c r="AI5" i="7"/>
  <c r="AK5" i="7"/>
  <c r="N5" i="7"/>
  <c r="L5" i="7"/>
  <c r="AX5" i="7"/>
  <c r="AU5" i="7"/>
  <c r="AJ5" i="7"/>
  <c r="J5" i="7"/>
  <c r="U5" i="7"/>
  <c r="X5" i="7"/>
  <c r="AE5" i="7"/>
  <c r="M5" i="7" l="1"/>
  <c r="BA5" i="7"/>
  <c r="R5" i="7"/>
  <c r="AB5" i="7"/>
  <c r="AL5" i="7"/>
  <c r="AW26" i="6" l="1"/>
  <c r="Y13" i="6"/>
  <c r="X13" i="6"/>
  <c r="AH20" i="6" l="1"/>
  <c r="AN40" i="2" l="1"/>
  <c r="AN42" i="2"/>
  <c r="AK40" i="2"/>
  <c r="S14" i="6"/>
  <c r="I14" i="6"/>
  <c r="AZ8" i="6"/>
  <c r="AY8" i="6"/>
  <c r="AX8" i="6"/>
  <c r="AW8" i="6"/>
  <c r="AU8" i="6"/>
  <c r="AT8" i="6"/>
  <c r="AS8" i="6"/>
  <c r="AR8" i="6"/>
  <c r="AP8" i="6"/>
  <c r="AO8" i="6"/>
  <c r="AN8" i="6"/>
  <c r="AM8" i="6"/>
  <c r="AK8" i="6"/>
  <c r="AJ8" i="6"/>
  <c r="AI8" i="6"/>
  <c r="AH8" i="6"/>
  <c r="AF8" i="6"/>
  <c r="AE8" i="6"/>
  <c r="AC8" i="6"/>
  <c r="AA8" i="6"/>
  <c r="Z8" i="6"/>
  <c r="Y8" i="6"/>
  <c r="X8" i="6"/>
  <c r="V8" i="6"/>
  <c r="U8" i="6"/>
  <c r="T8" i="6"/>
  <c r="S8" i="6"/>
  <c r="Q8" i="6"/>
  <c r="P8" i="6"/>
  <c r="O8" i="6"/>
  <c r="N8" i="6"/>
  <c r="L8" i="6"/>
  <c r="K8" i="6"/>
  <c r="J8" i="6"/>
  <c r="I8" i="6"/>
  <c r="AK38" i="6"/>
  <c r="AJ38" i="6"/>
  <c r="AI38" i="6"/>
  <c r="AH38" i="6"/>
  <c r="M8" i="6" l="1"/>
  <c r="AB8" i="6"/>
  <c r="BA8" i="6"/>
  <c r="AQ8" i="6"/>
  <c r="AV8" i="6"/>
  <c r="R8" i="6"/>
  <c r="AL8" i="6"/>
  <c r="W8" i="6"/>
  <c r="AK50" i="6"/>
  <c r="AJ50" i="6"/>
  <c r="AI50" i="6"/>
  <c r="AH50" i="6"/>
  <c r="AK44" i="6"/>
  <c r="AJ44" i="6"/>
  <c r="AI44" i="6"/>
  <c r="AH44" i="6"/>
  <c r="AZ44" i="6"/>
  <c r="AY44" i="6"/>
  <c r="AX44" i="6"/>
  <c r="AW44" i="6"/>
  <c r="AF44" i="6"/>
  <c r="AE44" i="6"/>
  <c r="AD44" i="6"/>
  <c r="AC44" i="6"/>
  <c r="AA44" i="6"/>
  <c r="Z44" i="6"/>
  <c r="Y44" i="6"/>
  <c r="X44" i="6"/>
  <c r="Q44" i="6"/>
  <c r="P44" i="6"/>
  <c r="O44" i="6"/>
  <c r="N44" i="6"/>
  <c r="V44" i="6"/>
  <c r="U44" i="6"/>
  <c r="T44" i="6"/>
  <c r="S44" i="6"/>
  <c r="L44" i="6"/>
  <c r="K44" i="6"/>
  <c r="J44" i="6"/>
  <c r="I44" i="6"/>
  <c r="AF38" i="6"/>
  <c r="AE38" i="6"/>
  <c r="AD38" i="6"/>
  <c r="AC38" i="6"/>
  <c r="AZ38" i="6"/>
  <c r="AY38" i="6"/>
  <c r="AX38" i="6"/>
  <c r="AW38" i="6"/>
  <c r="AA38" i="6"/>
  <c r="Z38" i="6"/>
  <c r="Y38" i="6"/>
  <c r="X38" i="6"/>
  <c r="V38" i="6"/>
  <c r="U38" i="6"/>
  <c r="T38" i="6"/>
  <c r="S38" i="6"/>
  <c r="Q38" i="6"/>
  <c r="P38" i="6"/>
  <c r="O38" i="6"/>
  <c r="N38" i="6"/>
  <c r="L38" i="6"/>
  <c r="K38" i="6"/>
  <c r="J38" i="6"/>
  <c r="I38" i="6"/>
  <c r="AZ32" i="6"/>
  <c r="AY32" i="6"/>
  <c r="AX32" i="6"/>
  <c r="AW32" i="6"/>
  <c r="AU32" i="6"/>
  <c r="AT32" i="6"/>
  <c r="AS32" i="6"/>
  <c r="AR32" i="6"/>
  <c r="AP32" i="6"/>
  <c r="AO32" i="6"/>
  <c r="AN32" i="6"/>
  <c r="AM32" i="6"/>
  <c r="AK32" i="6"/>
  <c r="AJ32" i="6"/>
  <c r="AI32" i="6"/>
  <c r="AH32" i="6"/>
  <c r="AF32" i="6"/>
  <c r="AE32" i="6"/>
  <c r="AD32" i="6"/>
  <c r="AC32" i="6"/>
  <c r="AA32" i="6"/>
  <c r="Z32" i="6"/>
  <c r="Y32" i="6"/>
  <c r="X32" i="6"/>
  <c r="V32" i="6"/>
  <c r="U32" i="6"/>
  <c r="T32" i="6"/>
  <c r="S32" i="6"/>
  <c r="Q32" i="6"/>
  <c r="P32" i="6"/>
  <c r="O32" i="6"/>
  <c r="N32" i="6"/>
  <c r="L32" i="6"/>
  <c r="K32" i="6"/>
  <c r="J32" i="6"/>
  <c r="I32" i="6"/>
  <c r="AZ26" i="6"/>
  <c r="AY26" i="6"/>
  <c r="AX26" i="6"/>
  <c r="AU26" i="6"/>
  <c r="AT26" i="6"/>
  <c r="AS26" i="6"/>
  <c r="AR26" i="6"/>
  <c r="AP26" i="6"/>
  <c r="AO26" i="6"/>
  <c r="AN26" i="6"/>
  <c r="AM26" i="6"/>
  <c r="AK26" i="6"/>
  <c r="AJ26" i="6"/>
  <c r="AI26" i="6"/>
  <c r="AH26" i="6"/>
  <c r="AF26" i="6"/>
  <c r="AE26" i="6"/>
  <c r="AD26" i="6"/>
  <c r="AC26" i="6"/>
  <c r="AA26" i="6"/>
  <c r="Z26" i="6"/>
  <c r="Y26" i="6"/>
  <c r="X26" i="6"/>
  <c r="V26" i="6"/>
  <c r="U26" i="6"/>
  <c r="T26" i="6"/>
  <c r="S26" i="6"/>
  <c r="Q26" i="6"/>
  <c r="P26" i="6"/>
  <c r="O26" i="6"/>
  <c r="N26" i="6"/>
  <c r="L26" i="6"/>
  <c r="K26" i="6"/>
  <c r="J26" i="6"/>
  <c r="I26" i="6"/>
  <c r="AZ20" i="6"/>
  <c r="AY20" i="6"/>
  <c r="AX20" i="6"/>
  <c r="AW20" i="6"/>
  <c r="AU20" i="6"/>
  <c r="AT20" i="6"/>
  <c r="AS20" i="6"/>
  <c r="AR20" i="6"/>
  <c r="AP20" i="6"/>
  <c r="AO20" i="6"/>
  <c r="AN20" i="6"/>
  <c r="AM20" i="6"/>
  <c r="D29" i="1" s="1"/>
  <c r="AK20" i="6"/>
  <c r="AJ20" i="6"/>
  <c r="AI20" i="6"/>
  <c r="AF20" i="6"/>
  <c r="AE20" i="6"/>
  <c r="AD20" i="6"/>
  <c r="AC20" i="6"/>
  <c r="AA20" i="6"/>
  <c r="Z20" i="6"/>
  <c r="Y20" i="6"/>
  <c r="X20" i="6"/>
  <c r="V20" i="6"/>
  <c r="U20" i="6"/>
  <c r="T20" i="6"/>
  <c r="S20" i="6"/>
  <c r="Q20" i="6"/>
  <c r="P20" i="6"/>
  <c r="O20" i="6"/>
  <c r="N20" i="6"/>
  <c r="L20" i="6"/>
  <c r="K20" i="6"/>
  <c r="J20" i="6"/>
  <c r="I20" i="6"/>
  <c r="AZ14" i="6"/>
  <c r="AY14" i="6"/>
  <c r="AX14" i="6"/>
  <c r="AW14" i="6"/>
  <c r="AU14" i="6"/>
  <c r="AT14" i="6"/>
  <c r="AS14" i="6"/>
  <c r="AR14" i="6"/>
  <c r="AP14" i="6"/>
  <c r="AO14" i="6"/>
  <c r="AN14" i="6"/>
  <c r="AM14" i="6"/>
  <c r="AK14" i="6"/>
  <c r="AJ14" i="6"/>
  <c r="AI14" i="6"/>
  <c r="AH14" i="6"/>
  <c r="AF14" i="6"/>
  <c r="AE14" i="6"/>
  <c r="AC14" i="6"/>
  <c r="AA14" i="6"/>
  <c r="Z14" i="6"/>
  <c r="Y14" i="6"/>
  <c r="X14" i="6"/>
  <c r="V14" i="6"/>
  <c r="U14" i="6"/>
  <c r="T14" i="6"/>
  <c r="Q14" i="6"/>
  <c r="P14" i="6"/>
  <c r="O14" i="6"/>
  <c r="N14" i="6"/>
  <c r="L14" i="6"/>
  <c r="K14" i="6"/>
  <c r="J14" i="6"/>
  <c r="K19" i="1"/>
  <c r="L20" i="1"/>
  <c r="M20" i="1" s="1"/>
  <c r="M19" i="1" s="1"/>
  <c r="F19" i="1"/>
  <c r="E9" i="1"/>
  <c r="H71" i="6"/>
  <c r="G71" i="6"/>
  <c r="F71" i="6"/>
  <c r="E71" i="6"/>
  <c r="D71" i="6" s="1"/>
  <c r="H70" i="6"/>
  <c r="G70" i="6"/>
  <c r="F70" i="6"/>
  <c r="E70" i="6"/>
  <c r="D70" i="6" s="1"/>
  <c r="H69" i="6"/>
  <c r="G69" i="6"/>
  <c r="F69" i="6"/>
  <c r="E69" i="6"/>
  <c r="D69" i="6" s="1"/>
  <c r="H67" i="6"/>
  <c r="G67" i="6"/>
  <c r="F67" i="6"/>
  <c r="E67" i="6"/>
  <c r="D67" i="6" s="1"/>
  <c r="H66" i="6"/>
  <c r="G66" i="6"/>
  <c r="F66" i="6"/>
  <c r="E66" i="6"/>
  <c r="D66" i="6" s="1"/>
  <c r="H65" i="6"/>
  <c r="G65" i="6"/>
  <c r="F65" i="6"/>
  <c r="E65" i="6"/>
  <c r="D65" i="6" s="1"/>
  <c r="H64" i="6"/>
  <c r="G64" i="6"/>
  <c r="F64" i="6"/>
  <c r="E64" i="6"/>
  <c r="D64" i="6" s="1"/>
  <c r="H63" i="6"/>
  <c r="G63" i="6"/>
  <c r="F63" i="6"/>
  <c r="E63" i="6"/>
  <c r="D63" i="6" s="1"/>
  <c r="H61" i="6"/>
  <c r="G61" i="6"/>
  <c r="F61" i="6"/>
  <c r="E61" i="6"/>
  <c r="D61" i="6" s="1"/>
  <c r="H60" i="6"/>
  <c r="G60" i="6"/>
  <c r="F60" i="6"/>
  <c r="E60" i="6"/>
  <c r="D60" i="6" s="1"/>
  <c r="H59" i="6"/>
  <c r="G59" i="6"/>
  <c r="F59" i="6"/>
  <c r="E59" i="6"/>
  <c r="D59" i="6" s="1"/>
  <c r="H58" i="6"/>
  <c r="G58" i="6"/>
  <c r="F58" i="6"/>
  <c r="E58" i="6"/>
  <c r="D58" i="6" s="1"/>
  <c r="H57" i="6"/>
  <c r="G57" i="6"/>
  <c r="F57" i="6"/>
  <c r="E57" i="6"/>
  <c r="D57" i="6" s="1"/>
  <c r="H55" i="6"/>
  <c r="G55" i="6"/>
  <c r="F55" i="6"/>
  <c r="E55" i="6"/>
  <c r="D55" i="6" s="1"/>
  <c r="H54" i="6"/>
  <c r="G54" i="6"/>
  <c r="F54" i="6"/>
  <c r="E54" i="6"/>
  <c r="D54" i="6" s="1"/>
  <c r="H53" i="6"/>
  <c r="G53" i="6"/>
  <c r="F53" i="6"/>
  <c r="E53" i="6"/>
  <c r="D53" i="6" s="1"/>
  <c r="H52" i="6"/>
  <c r="G52" i="6"/>
  <c r="F52" i="6"/>
  <c r="E52" i="6"/>
  <c r="D52" i="6" s="1"/>
  <c r="H51" i="6"/>
  <c r="G51" i="6"/>
  <c r="F51" i="6"/>
  <c r="E51" i="6"/>
  <c r="H49" i="6"/>
  <c r="G49" i="6"/>
  <c r="F49" i="6"/>
  <c r="E49" i="6"/>
  <c r="D49" i="6" s="1"/>
  <c r="H48" i="6"/>
  <c r="G48" i="6"/>
  <c r="F48" i="6"/>
  <c r="E48" i="6"/>
  <c r="D48" i="6" s="1"/>
  <c r="H47" i="6"/>
  <c r="G47" i="6"/>
  <c r="F47" i="6"/>
  <c r="E47" i="6"/>
  <c r="D47" i="6" s="1"/>
  <c r="H46" i="6"/>
  <c r="G46" i="6"/>
  <c r="F46" i="6"/>
  <c r="E46" i="6"/>
  <c r="D46" i="6" s="1"/>
  <c r="H45" i="6"/>
  <c r="G45" i="6"/>
  <c r="F45" i="6"/>
  <c r="E45" i="6"/>
  <c r="H43" i="6"/>
  <c r="G43" i="6"/>
  <c r="F43" i="6"/>
  <c r="E43" i="6"/>
  <c r="H42" i="6"/>
  <c r="G42" i="6"/>
  <c r="F42" i="6"/>
  <c r="E42" i="6"/>
  <c r="H41" i="6"/>
  <c r="G41" i="6"/>
  <c r="F41" i="6"/>
  <c r="E41" i="6"/>
  <c r="H40" i="6"/>
  <c r="G40" i="6"/>
  <c r="F40" i="6"/>
  <c r="E40" i="6"/>
  <c r="H39" i="6"/>
  <c r="G39" i="6"/>
  <c r="F39" i="6"/>
  <c r="E39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1" i="6"/>
  <c r="G31" i="6"/>
  <c r="F31" i="6"/>
  <c r="E31" i="6"/>
  <c r="H30" i="6"/>
  <c r="G30" i="6"/>
  <c r="F30" i="6"/>
  <c r="E30" i="6"/>
  <c r="H29" i="6"/>
  <c r="F29" i="6"/>
  <c r="E29" i="6"/>
  <c r="H28" i="6"/>
  <c r="G28" i="6"/>
  <c r="F28" i="6"/>
  <c r="E28" i="6"/>
  <c r="H27" i="6"/>
  <c r="G27" i="6"/>
  <c r="F27" i="6"/>
  <c r="E27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D21" i="6" s="1"/>
  <c r="H19" i="6"/>
  <c r="G19" i="6"/>
  <c r="F19" i="6"/>
  <c r="H18" i="6"/>
  <c r="G18" i="6"/>
  <c r="F18" i="6"/>
  <c r="H17" i="6"/>
  <c r="G17" i="6"/>
  <c r="F17" i="6"/>
  <c r="H16" i="6"/>
  <c r="G16" i="6"/>
  <c r="F16" i="6"/>
  <c r="E16" i="6"/>
  <c r="H15" i="6"/>
  <c r="G15" i="6"/>
  <c r="F15" i="6"/>
  <c r="E15" i="6"/>
  <c r="H13" i="6"/>
  <c r="G13" i="6"/>
  <c r="F13" i="6"/>
  <c r="E13" i="6"/>
  <c r="H12" i="6"/>
  <c r="G12" i="6"/>
  <c r="F12" i="6"/>
  <c r="E12" i="6"/>
  <c r="H11" i="6"/>
  <c r="G11" i="6"/>
  <c r="E11" i="6"/>
  <c r="H10" i="6"/>
  <c r="G10" i="6"/>
  <c r="F10" i="6"/>
  <c r="E10" i="6"/>
  <c r="H9" i="6"/>
  <c r="G9" i="6"/>
  <c r="F9" i="6"/>
  <c r="E9" i="6"/>
  <c r="D9" i="6" s="1"/>
  <c r="E19" i="6"/>
  <c r="E18" i="6"/>
  <c r="E17" i="6"/>
  <c r="AD11" i="6"/>
  <c r="C10" i="6"/>
  <c r="D31" i="1"/>
  <c r="D28" i="1"/>
  <c r="D25" i="1"/>
  <c r="B67" i="2"/>
  <c r="B66" i="2"/>
  <c r="B61" i="2"/>
  <c r="B60" i="2"/>
  <c r="B55" i="2"/>
  <c r="B54" i="2"/>
  <c r="B49" i="2"/>
  <c r="B48" i="2"/>
  <c r="B43" i="2"/>
  <c r="B42" i="2"/>
  <c r="B37" i="2"/>
  <c r="B36" i="2"/>
  <c r="B31" i="2"/>
  <c r="B30" i="2"/>
  <c r="B25" i="2"/>
  <c r="B24" i="2"/>
  <c r="B19" i="2"/>
  <c r="B18" i="2"/>
  <c r="B65" i="2"/>
  <c r="B64" i="2"/>
  <c r="B59" i="2"/>
  <c r="B58" i="2"/>
  <c r="B53" i="2"/>
  <c r="B52" i="2"/>
  <c r="B47" i="2"/>
  <c r="B46" i="2"/>
  <c r="B41" i="2"/>
  <c r="B40" i="2"/>
  <c r="B35" i="2"/>
  <c r="B34" i="2"/>
  <c r="B29" i="2"/>
  <c r="B28" i="2"/>
  <c r="B23" i="2"/>
  <c r="B22" i="2"/>
  <c r="B17" i="2"/>
  <c r="B16" i="2"/>
  <c r="D36" i="6" l="1"/>
  <c r="D31" i="6"/>
  <c r="R20" i="6"/>
  <c r="D28" i="6"/>
  <c r="R26" i="6"/>
  <c r="C11" i="6"/>
  <c r="F32" i="6"/>
  <c r="H32" i="6"/>
  <c r="D24" i="6"/>
  <c r="H26" i="6"/>
  <c r="D23" i="6"/>
  <c r="F11" i="6"/>
  <c r="D11" i="6" s="1"/>
  <c r="AD8" i="6"/>
  <c r="AD14" i="6"/>
  <c r="H62" i="6"/>
  <c r="D10" i="6"/>
  <c r="D22" i="6"/>
  <c r="D25" i="6"/>
  <c r="D29" i="6"/>
  <c r="G26" i="6"/>
  <c r="E32" i="6"/>
  <c r="D19" i="6"/>
  <c r="H20" i="6"/>
  <c r="H14" i="6"/>
  <c r="H38" i="6"/>
  <c r="G20" i="6"/>
  <c r="D41" i="6"/>
  <c r="D45" i="6"/>
  <c r="F26" i="6"/>
  <c r="H44" i="6"/>
  <c r="H50" i="6"/>
  <c r="H56" i="6"/>
  <c r="H68" i="6"/>
  <c r="D43" i="6"/>
  <c r="D23" i="1"/>
  <c r="D24" i="1"/>
  <c r="D30" i="1"/>
  <c r="G62" i="6"/>
  <c r="D27" i="1"/>
  <c r="E20" i="6"/>
  <c r="G32" i="6"/>
  <c r="F44" i="6"/>
  <c r="E44" i="6"/>
  <c r="F20" i="6"/>
  <c r="G44" i="6"/>
  <c r="E38" i="6"/>
  <c r="D30" i="6"/>
  <c r="D34" i="6"/>
  <c r="G38" i="6"/>
  <c r="F38" i="6"/>
  <c r="E26" i="6"/>
  <c r="D12" i="6"/>
  <c r="N20" i="1"/>
  <c r="N19" i="1" s="1"/>
  <c r="L19" i="1"/>
  <c r="D17" i="6"/>
  <c r="D35" i="6"/>
  <c r="G68" i="6"/>
  <c r="D42" i="6"/>
  <c r="F62" i="6"/>
  <c r="E56" i="6"/>
  <c r="D56" i="6" s="1"/>
  <c r="F56" i="6"/>
  <c r="D51" i="6"/>
  <c r="G56" i="6"/>
  <c r="F50" i="6"/>
  <c r="G50" i="6"/>
  <c r="F68" i="6"/>
  <c r="E62" i="6"/>
  <c r="D62" i="6" s="1"/>
  <c r="E50" i="6"/>
  <c r="E68" i="6"/>
  <c r="D68" i="6" s="1"/>
  <c r="D33" i="6"/>
  <c r="D40" i="6"/>
  <c r="G14" i="6"/>
  <c r="D13" i="6"/>
  <c r="D27" i="6"/>
  <c r="D37" i="6"/>
  <c r="D39" i="6"/>
  <c r="E14" i="6"/>
  <c r="D15" i="6"/>
  <c r="D18" i="6"/>
  <c r="D16" i="6"/>
  <c r="H8" i="6"/>
  <c r="C12" i="6"/>
  <c r="Q34" i="2"/>
  <c r="P34" i="2"/>
  <c r="M34" i="2"/>
  <c r="O34" i="2"/>
  <c r="N34" i="2"/>
  <c r="D49" i="2"/>
  <c r="D48" i="2"/>
  <c r="J6" i="2"/>
  <c r="K6" i="2"/>
  <c r="I6" i="2"/>
  <c r="G41" i="2"/>
  <c r="F5" i="1"/>
  <c r="F9" i="1"/>
  <c r="F10" i="1"/>
  <c r="F11" i="1"/>
  <c r="F12" i="1"/>
  <c r="F13" i="1"/>
  <c r="F14" i="1"/>
  <c r="F15" i="1"/>
  <c r="F16" i="1"/>
  <c r="D64" i="2"/>
  <c r="D65" i="2"/>
  <c r="D66" i="2"/>
  <c r="D67" i="2"/>
  <c r="D44" i="6" l="1"/>
  <c r="F8" i="6"/>
  <c r="AG8" i="6"/>
  <c r="D32" i="6"/>
  <c r="F14" i="6"/>
  <c r="O20" i="1"/>
  <c r="O19" i="1" s="1"/>
  <c r="D26" i="6"/>
  <c r="G8" i="6"/>
  <c r="D20" i="6"/>
  <c r="D14" i="6"/>
  <c r="D38" i="6"/>
  <c r="E8" i="6"/>
  <c r="D26" i="1"/>
  <c r="D22" i="1" s="1"/>
  <c r="P20" i="1"/>
  <c r="D50" i="6"/>
  <c r="C13" i="6"/>
  <c r="F8" i="1"/>
  <c r="D28" i="2"/>
  <c r="D11" i="1" s="1"/>
  <c r="J11" i="1" s="1"/>
  <c r="D8" i="6" l="1"/>
  <c r="C15" i="6"/>
  <c r="P19" i="1"/>
  <c r="Q20" i="1"/>
  <c r="G6" i="2"/>
  <c r="H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F6" i="2"/>
  <c r="D17" i="2"/>
  <c r="F9" i="2"/>
  <c r="G9" i="2"/>
  <c r="H9" i="2"/>
  <c r="I9" i="2"/>
  <c r="J9" i="2"/>
  <c r="K9" i="2"/>
  <c r="L9" i="2"/>
  <c r="M9" i="2"/>
  <c r="N9" i="2"/>
  <c r="O9" i="2"/>
  <c r="P9" i="2"/>
  <c r="Q9" i="2"/>
  <c r="Q8" i="2" s="1"/>
  <c r="R9" i="2"/>
  <c r="R8" i="2" s="1"/>
  <c r="S9" i="2"/>
  <c r="T9" i="2"/>
  <c r="U9" i="2"/>
  <c r="V9" i="2"/>
  <c r="W9" i="2"/>
  <c r="X9" i="2"/>
  <c r="X8" i="2" s="1"/>
  <c r="Y9" i="2"/>
  <c r="Y8" i="2" s="1"/>
  <c r="Z9" i="2"/>
  <c r="AA9" i="2"/>
  <c r="AB9" i="2"/>
  <c r="AC9" i="2"/>
  <c r="AD9" i="2"/>
  <c r="AE9" i="2"/>
  <c r="AE8" i="2" s="1"/>
  <c r="AF9" i="2"/>
  <c r="AF8" i="2" s="1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S8" i="2" s="1"/>
  <c r="AT9" i="2"/>
  <c r="AT8" i="2" s="1"/>
  <c r="AU9" i="2"/>
  <c r="AV9" i="2"/>
  <c r="AV8" i="2" s="1"/>
  <c r="AW9" i="2"/>
  <c r="AW8" i="2" s="1"/>
  <c r="AX9" i="2"/>
  <c r="AX8" i="2" s="1"/>
  <c r="AY9" i="2"/>
  <c r="AY8" i="2" s="1"/>
  <c r="AZ9" i="2"/>
  <c r="AZ8" i="2" s="1"/>
  <c r="BA9" i="2"/>
  <c r="BA8" i="2" s="1"/>
  <c r="BB9" i="2"/>
  <c r="BB8" i="2" s="1"/>
  <c r="BC9" i="2"/>
  <c r="BC8" i="2" s="1"/>
  <c r="BD9" i="2"/>
  <c r="BD8" i="2" s="1"/>
  <c r="BE9" i="2"/>
  <c r="BE8" i="2" s="1"/>
  <c r="BF9" i="2"/>
  <c r="BF8" i="2" s="1"/>
  <c r="BG9" i="2"/>
  <c r="BG8" i="2" s="1"/>
  <c r="BH9" i="2"/>
  <c r="BH8" i="2" s="1"/>
  <c r="BI9" i="2"/>
  <c r="BI8" i="2" s="1"/>
  <c r="BJ9" i="2"/>
  <c r="BJ8" i="2" s="1"/>
  <c r="BK9" i="2"/>
  <c r="BK8" i="2" s="1"/>
  <c r="BL9" i="2"/>
  <c r="BL8" i="2" s="1"/>
  <c r="BM9" i="2"/>
  <c r="BM8" i="2" s="1"/>
  <c r="BN9" i="2"/>
  <c r="BN8" i="2" s="1"/>
  <c r="BO9" i="2"/>
  <c r="BO8" i="2" s="1"/>
  <c r="BP9" i="2"/>
  <c r="BP8" i="2" s="1"/>
  <c r="BQ9" i="2"/>
  <c r="BQ8" i="2" s="1"/>
  <c r="BR9" i="2"/>
  <c r="BR8" i="2" s="1"/>
  <c r="BS9" i="2"/>
  <c r="BS8" i="2" s="1"/>
  <c r="BT9" i="2"/>
  <c r="BT8" i="2" s="1"/>
  <c r="BU9" i="2"/>
  <c r="BU8" i="2" s="1"/>
  <c r="BV9" i="2"/>
  <c r="BV8" i="2" s="1"/>
  <c r="BW9" i="2"/>
  <c r="BW8" i="2" s="1"/>
  <c r="BX9" i="2"/>
  <c r="BX8" i="2" s="1"/>
  <c r="BY9" i="2"/>
  <c r="BY8" i="2" s="1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E12" i="2"/>
  <c r="E11" i="2"/>
  <c r="D37" i="2"/>
  <c r="D36" i="2"/>
  <c r="D61" i="2"/>
  <c r="D60" i="2"/>
  <c r="D55" i="2"/>
  <c r="D54" i="2"/>
  <c r="D43" i="2"/>
  <c r="D42" i="2"/>
  <c r="D31" i="2"/>
  <c r="D30" i="2"/>
  <c r="D25" i="2"/>
  <c r="D24" i="2"/>
  <c r="D19" i="2"/>
  <c r="E10" i="2"/>
  <c r="E9" i="2"/>
  <c r="D53" i="2"/>
  <c r="D52" i="2"/>
  <c r="D15" i="1" s="1"/>
  <c r="J15" i="1" s="1"/>
  <c r="D18" i="2"/>
  <c r="D47" i="2"/>
  <c r="Q19" i="1" l="1"/>
  <c r="R20" i="1"/>
  <c r="K8" i="2"/>
  <c r="J8" i="2"/>
  <c r="H12" i="1"/>
  <c r="G9" i="1"/>
  <c r="E12" i="1"/>
  <c r="I12" i="1" s="1"/>
  <c r="E10" i="1"/>
  <c r="I10" i="1" s="1"/>
  <c r="G10" i="1"/>
  <c r="G13" i="1"/>
  <c r="H13" i="1"/>
  <c r="H10" i="1"/>
  <c r="H16" i="1"/>
  <c r="AF6" i="2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AM8" i="2"/>
  <c r="AU8" i="2"/>
  <c r="AL8" i="2"/>
  <c r="G8" i="2"/>
  <c r="O8" i="2"/>
  <c r="W8" i="2"/>
  <c r="AR8" i="2"/>
  <c r="AJ8" i="2"/>
  <c r="AB8" i="2"/>
  <c r="T8" i="2"/>
  <c r="L8" i="2"/>
  <c r="D12" i="2"/>
  <c r="D11" i="2"/>
  <c r="S8" i="2"/>
  <c r="AA8" i="2"/>
  <c r="AI8" i="2"/>
  <c r="AQ8" i="2"/>
  <c r="F8" i="2"/>
  <c r="N8" i="2"/>
  <c r="V8" i="2"/>
  <c r="AD8" i="2"/>
  <c r="E8" i="2"/>
  <c r="M8" i="2"/>
  <c r="U8" i="2"/>
  <c r="AC8" i="2"/>
  <c r="AK8" i="2"/>
  <c r="I8" i="2"/>
  <c r="AG8" i="2"/>
  <c r="AO8" i="2"/>
  <c r="AN8" i="2"/>
  <c r="Z8" i="2"/>
  <c r="AH8" i="2"/>
  <c r="AP8" i="2"/>
  <c r="H8" i="2"/>
  <c r="P8" i="2"/>
  <c r="D59" i="2"/>
  <c r="D58" i="2"/>
  <c r="D16" i="1" s="1"/>
  <c r="J16" i="1" s="1"/>
  <c r="D46" i="2"/>
  <c r="D14" i="1" s="1"/>
  <c r="J14" i="1" s="1"/>
  <c r="D41" i="2"/>
  <c r="D40" i="2"/>
  <c r="D13" i="1" s="1"/>
  <c r="J13" i="1" s="1"/>
  <c r="D35" i="2"/>
  <c r="D34" i="2"/>
  <c r="D12" i="1" s="1"/>
  <c r="J12" i="1" s="1"/>
  <c r="D29" i="2"/>
  <c r="D23" i="2"/>
  <c r="D22" i="2"/>
  <c r="D10" i="1" s="1"/>
  <c r="J10" i="1" s="1"/>
  <c r="D16" i="2"/>
  <c r="D9" i="1" s="1"/>
  <c r="J9" i="1" s="1"/>
  <c r="R19" i="1" l="1"/>
  <c r="S20" i="1"/>
  <c r="I9" i="1"/>
  <c r="G16" i="1"/>
  <c r="G15" i="1"/>
  <c r="G12" i="1"/>
  <c r="H9" i="1"/>
  <c r="H11" i="1"/>
  <c r="E14" i="1"/>
  <c r="I14" i="1" s="1"/>
  <c r="H14" i="1"/>
  <c r="E11" i="1"/>
  <c r="I11" i="1" s="1"/>
  <c r="G11" i="1"/>
  <c r="G14" i="1"/>
  <c r="E13" i="1"/>
  <c r="I13" i="1" s="1"/>
  <c r="E15" i="1"/>
  <c r="I15" i="1" s="1"/>
  <c r="H15" i="1"/>
  <c r="E16" i="1"/>
  <c r="I16" i="1" s="1"/>
  <c r="D8" i="1"/>
  <c r="J8" i="1" s="1"/>
  <c r="D10" i="2"/>
  <c r="D9" i="2"/>
  <c r="T20" i="1" l="1"/>
  <c r="U20" i="1" s="1"/>
  <c r="S19" i="1"/>
  <c r="C16" i="6"/>
  <c r="G8" i="1"/>
  <c r="H8" i="1"/>
  <c r="E8" i="1"/>
  <c r="I8" i="1" s="1"/>
  <c r="D8" i="2"/>
  <c r="U19" i="1" l="1"/>
  <c r="V20" i="1"/>
  <c r="V19" i="1" s="1"/>
  <c r="T19" i="1"/>
  <c r="C17" i="6"/>
  <c r="C18" i="6" l="1"/>
  <c r="W20" i="1" l="1"/>
  <c r="C19" i="6"/>
  <c r="C21" i="6" l="1"/>
  <c r="C22" i="6" s="1"/>
  <c r="C23" i="6" s="1"/>
  <c r="C24" i="6" s="1"/>
  <c r="C25" i="6" s="1"/>
  <c r="C27" i="6" s="1"/>
  <c r="C28" i="6" s="1"/>
  <c r="C29" i="6" s="1"/>
  <c r="C30" i="6" s="1"/>
  <c r="C31" i="6" s="1"/>
  <c r="C33" i="6" s="1"/>
  <c r="C34" i="6" s="1"/>
  <c r="C35" i="6" s="1"/>
  <c r="C36" i="6" s="1"/>
  <c r="C37" i="6" s="1"/>
  <c r="C39" i="6" s="1"/>
  <c r="C40" i="6" s="1"/>
  <c r="C41" i="6" s="1"/>
  <c r="C42" i="6" s="1"/>
  <c r="C43" i="6" s="1"/>
  <c r="C45" i="6" s="1"/>
  <c r="C46" i="6" s="1"/>
  <c r="C47" i="6" s="1"/>
  <c r="C48" i="6" s="1"/>
  <c r="C49" i="6" s="1"/>
  <c r="C51" i="6" s="1"/>
  <c r="C52" i="6" s="1"/>
  <c r="C53" i="6" s="1"/>
  <c r="C54" i="6" s="1"/>
  <c r="C55" i="6" s="1"/>
  <c r="C57" i="6" s="1"/>
  <c r="C58" i="6" s="1"/>
  <c r="C59" i="6" s="1"/>
  <c r="C60" i="6" s="1"/>
  <c r="C61" i="6" s="1"/>
  <c r="C63" i="6" s="1"/>
  <c r="C64" i="6" s="1"/>
  <c r="C65" i="6" s="1"/>
  <c r="C66" i="6" s="1"/>
  <c r="C67" i="6" s="1"/>
  <c r="C69" i="6" s="1"/>
  <c r="C70" i="6" s="1"/>
  <c r="C71" i="6" s="1"/>
  <c r="W19" i="1"/>
  <c r="X20" i="1"/>
  <c r="L6" i="6" l="1"/>
  <c r="H23" i="1" s="1"/>
  <c r="BB6" i="6"/>
  <c r="BD6" i="6"/>
  <c r="BE6" i="6"/>
  <c r="BC6" i="6"/>
  <c r="AR6" i="6"/>
  <c r="E30" i="1" s="1"/>
  <c r="AC6" i="6"/>
  <c r="E27" i="1" s="1"/>
  <c r="N6" i="6"/>
  <c r="E24" i="1" s="1"/>
  <c r="AA6" i="6"/>
  <c r="H26" i="1" s="1"/>
  <c r="U6" i="6"/>
  <c r="G25" i="1" s="1"/>
  <c r="T6" i="6"/>
  <c r="F25" i="1" s="1"/>
  <c r="O6" i="6"/>
  <c r="F24" i="1" s="1"/>
  <c r="AW6" i="6"/>
  <c r="E31" i="1" s="1"/>
  <c r="AE6" i="6"/>
  <c r="G27" i="1" s="1"/>
  <c r="AX6" i="6"/>
  <c r="F31" i="1" s="1"/>
  <c r="AO6" i="6"/>
  <c r="G29" i="1" s="1"/>
  <c r="V6" i="6"/>
  <c r="H25" i="1" s="1"/>
  <c r="AU6" i="6"/>
  <c r="H30" i="1" s="1"/>
  <c r="Z6" i="6"/>
  <c r="G26" i="1" s="1"/>
  <c r="J6" i="6"/>
  <c r="F23" i="1" s="1"/>
  <c r="AM6" i="6"/>
  <c r="E29" i="1" s="1"/>
  <c r="AH6" i="6"/>
  <c r="E28" i="1" s="1"/>
  <c r="I6" i="6"/>
  <c r="E23" i="1" s="1"/>
  <c r="AJ6" i="6"/>
  <c r="G28" i="1" s="1"/>
  <c r="AP6" i="6"/>
  <c r="H29" i="1" s="1"/>
  <c r="X6" i="6"/>
  <c r="E26" i="1" s="1"/>
  <c r="AN6" i="6"/>
  <c r="F29" i="1" s="1"/>
  <c r="AS6" i="6"/>
  <c r="F30" i="1" s="1"/>
  <c r="AD6" i="6"/>
  <c r="F27" i="1" s="1"/>
  <c r="S6" i="6"/>
  <c r="E25" i="1" s="1"/>
  <c r="AK6" i="6"/>
  <c r="H28" i="1" s="1"/>
  <c r="Q6" i="6"/>
  <c r="H24" i="1" s="1"/>
  <c r="AI6" i="6"/>
  <c r="F28" i="1" s="1"/>
  <c r="AZ6" i="6"/>
  <c r="H31" i="1" s="1"/>
  <c r="P6" i="6"/>
  <c r="G24" i="1" s="1"/>
  <c r="K6" i="6"/>
  <c r="G23" i="1" s="1"/>
  <c r="AF6" i="6"/>
  <c r="H27" i="1" s="1"/>
  <c r="AT6" i="6"/>
  <c r="G30" i="1" s="1"/>
  <c r="AY6" i="6"/>
  <c r="G31" i="1" s="1"/>
  <c r="Y6" i="6"/>
  <c r="F26" i="1" s="1"/>
  <c r="X19" i="1"/>
  <c r="Y20" i="1"/>
  <c r="BF6" i="6" l="1"/>
  <c r="H22" i="1"/>
  <c r="I29" i="1"/>
  <c r="J29" i="1"/>
  <c r="I31" i="1"/>
  <c r="J31" i="1"/>
  <c r="J30" i="1"/>
  <c r="I30" i="1"/>
  <c r="I26" i="1"/>
  <c r="J26" i="1"/>
  <c r="I24" i="1"/>
  <c r="J24" i="1"/>
  <c r="E22" i="1"/>
  <c r="J25" i="1"/>
  <c r="I25" i="1"/>
  <c r="G22" i="1"/>
  <c r="J28" i="1"/>
  <c r="I28" i="1"/>
  <c r="J23" i="1"/>
  <c r="F22" i="1"/>
  <c r="I23" i="1"/>
  <c r="J27" i="1"/>
  <c r="I27" i="1"/>
  <c r="Y19" i="1"/>
  <c r="Z20" i="1"/>
  <c r="AQ6" i="6"/>
  <c r="AL6" i="6"/>
  <c r="AB6" i="6"/>
  <c r="R6" i="6"/>
  <c r="BA6" i="6"/>
  <c r="AV6" i="6"/>
  <c r="AG6" i="6"/>
  <c r="W6" i="6"/>
  <c r="M6" i="6"/>
  <c r="J22" i="1" l="1"/>
  <c r="I22" i="1"/>
  <c r="Z19" i="1"/>
  <c r="AA20" i="1"/>
  <c r="AB20" i="1" s="1"/>
  <c r="AB19" i="1" l="1"/>
  <c r="AC20" i="1"/>
  <c r="AC19" i="1" s="1"/>
  <c r="AA19" i="1"/>
  <c r="AD20" i="1" l="1"/>
  <c r="AD19" i="1" l="1"/>
  <c r="AE20" i="1"/>
  <c r="AF20" i="1" l="1"/>
  <c r="AE19" i="1"/>
  <c r="AG20" i="1" l="1"/>
  <c r="AG19" i="1" s="1"/>
  <c r="A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Nandakumar Yathirajula</author>
  </authors>
  <commentList>
    <comment ref="D6" authorId="0" shapeId="0" xr:uid="{5AD837C9-6ECD-4738-B182-2630219F6964}">
      <text>
        <r>
          <rPr>
            <b/>
            <sz val="9"/>
            <color indexed="81"/>
            <rFont val="Tahoma"/>
            <family val="2"/>
          </rPr>
          <t xml:space="preserve">Do not Edit the cells in this column - Auto populated values
</t>
        </r>
      </text>
    </comment>
  </commentList>
</comments>
</file>

<file path=xl/sharedStrings.xml><?xml version="1.0" encoding="utf-8"?>
<sst xmlns="http://schemas.openxmlformats.org/spreadsheetml/2006/main" count="1003" uniqueCount="148">
  <si>
    <t>TCS Transition Dashboard</t>
  </si>
  <si>
    <t>All Tower Combined Status</t>
  </si>
  <si>
    <t>Corp Apps</t>
  </si>
  <si>
    <t>SAP</t>
  </si>
  <si>
    <t>Integration</t>
  </si>
  <si>
    <t>EIT</t>
  </si>
  <si>
    <t>EDA</t>
  </si>
  <si>
    <t>SharePoint</t>
  </si>
  <si>
    <t>SNOW</t>
  </si>
  <si>
    <t>LAN</t>
  </si>
  <si>
    <t>AS400</t>
  </si>
  <si>
    <t xml:space="preserve">SIAM </t>
  </si>
  <si>
    <t>KT (P) Till today</t>
  </si>
  <si>
    <t>KT (A) Till today</t>
  </si>
  <si>
    <t>PlayBack (P)</t>
  </si>
  <si>
    <t>PlayBack (A)</t>
  </si>
  <si>
    <t>KT till today %</t>
  </si>
  <si>
    <t>KT Topics</t>
  </si>
  <si>
    <t>Overall</t>
  </si>
  <si>
    <t>Planned</t>
  </si>
  <si>
    <t>Actual</t>
  </si>
  <si>
    <t>Playback (P)</t>
  </si>
  <si>
    <t>Playback (A)</t>
  </si>
  <si>
    <t>Notes</t>
  </si>
  <si>
    <t>Overall Summary</t>
  </si>
  <si>
    <t>M</t>
  </si>
  <si>
    <t>T</t>
  </si>
  <si>
    <t>W</t>
  </si>
  <si>
    <t>Incident &amp; Complaints Mgmt Completed</t>
  </si>
  <si>
    <t xml:space="preserve">LTIM yet to prepare KCD docs. </t>
  </si>
  <si>
    <t>Document review &amp; History tickets covered before schedule</t>
  </si>
  <si>
    <t xml:space="preserve">CMDB is scheduled for 4 days </t>
  </si>
  <si>
    <t>F</t>
  </si>
  <si>
    <t>Week Status</t>
  </si>
  <si>
    <t>Balance  KT topic will be covered in the next session as planned.</t>
  </si>
  <si>
    <t>Covered KT on 21st Feb and Playback Session was not happened on 21st Feb.</t>
  </si>
  <si>
    <t>Balance KT topic will be covered in the next session. One of resource is OOO from TCS till 27 due to which KT topic will be covered in next session</t>
  </si>
  <si>
    <t>Few points covered yesterday.</t>
  </si>
  <si>
    <t>LTIM Associate OOO till 3rd March</t>
  </si>
  <si>
    <t>Knowledge Mgmt Completed</t>
  </si>
  <si>
    <t>KCD Signoff pending from LTIM on SFG
KCD doc yet to receive for SSP from LTIM
ETA: 04-Mar</t>
  </si>
  <si>
    <t>Sessions cancelled on 25th Feb is covered today .</t>
  </si>
  <si>
    <t>LTIM Associate on Sick leave</t>
  </si>
  <si>
    <t>All the back logs completed</t>
  </si>
  <si>
    <t>few topics covered in initial week</t>
  </si>
  <si>
    <t>Problem Mgmt Completed. Incident &amp; KM Playback Session Done</t>
  </si>
  <si>
    <t>Topics duration was more</t>
  </si>
  <si>
    <t/>
  </si>
  <si>
    <t>Playback postponed on 14th Mar is completed today (17/Mar/25)</t>
  </si>
  <si>
    <t>SECONDARY SUPPORT</t>
  </si>
  <si>
    <t>Reporting Date</t>
  </si>
  <si>
    <t>&lt;- populate this date in the same format</t>
  </si>
  <si>
    <t>The below table is auto populated; do not alter any cell formula</t>
  </si>
  <si>
    <t>As on</t>
  </si>
  <si>
    <t>Tower Owner</t>
  </si>
  <si>
    <t>Overall KT Topics</t>
  </si>
  <si>
    <t>Playback</t>
  </si>
  <si>
    <r>
      <t xml:space="preserve">KT Progress
</t>
    </r>
    <r>
      <rPr>
        <b/>
        <sz val="10"/>
        <color rgb="FFFFFF00"/>
        <rFont val="Calibri"/>
        <family val="2"/>
      </rPr>
      <t>(Planned vs. Actual)</t>
    </r>
  </si>
  <si>
    <t>Overall KT Progress</t>
  </si>
  <si>
    <t>All Towers</t>
  </si>
  <si>
    <t>KT Cancelled due to Holiday(LTIM and TCS)</t>
  </si>
  <si>
    <t>Sachin</t>
  </si>
  <si>
    <t>Green</t>
  </si>
  <si>
    <t>Harshad</t>
  </si>
  <si>
    <t>Chendra</t>
  </si>
  <si>
    <t>Ajay</t>
  </si>
  <si>
    <t>Sharepoint</t>
  </si>
  <si>
    <t>Sandeep</t>
  </si>
  <si>
    <t>Service Now</t>
  </si>
  <si>
    <t>Dilip</t>
  </si>
  <si>
    <t>Neel</t>
  </si>
  <si>
    <r>
      <t xml:space="preserve">KT Progress
</t>
    </r>
    <r>
      <rPr>
        <b/>
        <sz val="12"/>
        <color rgb="FFFFFF00"/>
        <rFont val="Calibri"/>
        <family val="2"/>
      </rPr>
      <t>(Planned vs. Actual)</t>
    </r>
  </si>
  <si>
    <t>Additional Comments</t>
  </si>
  <si>
    <t>KT Cancelled due to Holiday( LTIM and TCS)</t>
  </si>
  <si>
    <t>Backlog sessions need to be covered.</t>
  </si>
  <si>
    <t>All green</t>
  </si>
  <si>
    <t>KT completed</t>
  </si>
  <si>
    <t>KCD pending fromLTIM on SFG &amp; SSP</t>
  </si>
  <si>
    <t>No session planned for today</t>
  </si>
  <si>
    <t>Naga</t>
  </si>
  <si>
    <t>Session cancelled due to unavailability of LTIM SME</t>
  </si>
  <si>
    <t>LTIM SME is not available for KT last week .
Backlog to be covered this week.</t>
  </si>
  <si>
    <r>
      <t xml:space="preserve">KT Progress
</t>
    </r>
    <r>
      <rPr>
        <b/>
        <sz val="10"/>
        <color rgb="FFFFFF00"/>
        <rFont val="Aptos Display"/>
        <family val="2"/>
        <scheme val="major"/>
      </rPr>
      <t>(Planned vs. Actual)</t>
    </r>
  </si>
  <si>
    <t>PHINIA KT DASHBOARD</t>
  </si>
  <si>
    <t>Column Auto Populate</t>
  </si>
  <si>
    <t>S</t>
  </si>
  <si>
    <t>Towers</t>
  </si>
  <si>
    <t>KT Owner</t>
  </si>
  <si>
    <t>Summary</t>
  </si>
  <si>
    <t>TOWER LEVEL DASHBOARD</t>
  </si>
  <si>
    <t>Vijit</t>
  </si>
  <si>
    <t>KT Plnd Till Yday</t>
  </si>
  <si>
    <t>KT Act till Yday</t>
  </si>
  <si>
    <t>PlayBack Plnd</t>
  </si>
  <si>
    <t>PlayBack Act</t>
  </si>
  <si>
    <t>Due to Holiday,associates are not available</t>
  </si>
  <si>
    <t>3 additional OTC topics and 4 addtional MFG topics are covered today</t>
  </si>
  <si>
    <t>MFG and Security sessions are not happening today due to holiday - 17 topics, 64 topics covered today which includes 11 additional topics of OTC</t>
  </si>
  <si>
    <t>3 Security topics left
2 OTC additional topics 
13 PTP topics left will be covered under WM topic
33 MFG additional topcis covered of 3rd and 4th March</t>
  </si>
  <si>
    <t>MFG playback is planned</t>
  </si>
  <si>
    <t>Security playback is planned</t>
  </si>
  <si>
    <t xml:space="preserve">LTIM yet to prepare KCD docs. Hence only 6 covered out of 11 </t>
  </si>
  <si>
    <t>2 topics (KCD  signoff of SFG) of 20th Feb is yet to be completed. Responsible LTIM.</t>
  </si>
  <si>
    <t xml:space="preserve">2 topics (KCD  signoff of SFG) of 20th Feb is yet to be completed.
5 topics (KCD  &amp; signoff of SSP) of 25th Feb is yet to be 
 Responsible LTIM.
</t>
  </si>
  <si>
    <t>KCD Signoff pending from LTIM on SFG.KCD doc yet to receive for SSP from LTIM.</t>
  </si>
  <si>
    <t>Few points covered yesterday. Play back moced to thrusday as per LTIM request</t>
  </si>
  <si>
    <t xml:space="preserve">Sessions are cnacelled , But sessions are covered earlier </t>
  </si>
  <si>
    <t>Session cancelled -Sick leave</t>
  </si>
  <si>
    <t>AS400 Apps</t>
  </si>
  <si>
    <t>Corp Apps: Vijith</t>
  </si>
  <si>
    <t>SAP: Sachin</t>
  </si>
  <si>
    <t>Integration: Harshad</t>
  </si>
  <si>
    <t>EIT: Chendra</t>
  </si>
  <si>
    <t>EDA: Ajay</t>
  </si>
  <si>
    <t>SharePoint: Sandeep</t>
  </si>
  <si>
    <t>SNOW: Dilip</t>
  </si>
  <si>
    <t>LAN: Neel</t>
  </si>
  <si>
    <t>AS400: Naga</t>
  </si>
  <si>
    <t xml:space="preserve">SIAM : </t>
  </si>
  <si>
    <t>Due to Holiday,both LTIM &amp; TCS associates are not available</t>
  </si>
  <si>
    <t>Playback moved postponed to next week</t>
  </si>
  <si>
    <t>14 Topics + 2 Play back were tagged to weekend. Move to weekdays</t>
  </si>
  <si>
    <t>SECONDARY</t>
  </si>
  <si>
    <t>PRIMARY</t>
  </si>
  <si>
    <t>Handed Off</t>
  </si>
  <si>
    <t>Sl. No.</t>
  </si>
  <si>
    <t>Tower</t>
  </si>
  <si>
    <t>Risk Item</t>
  </si>
  <si>
    <t>Risk Reason / Description</t>
  </si>
  <si>
    <t>Mitigation</t>
  </si>
  <si>
    <t>Impact if not mitigated</t>
  </si>
  <si>
    <t>Originator</t>
  </si>
  <si>
    <t>Reported Date</t>
  </si>
  <si>
    <t>Due Date</t>
  </si>
  <si>
    <t>Risk Owner</t>
  </si>
  <si>
    <t>Impact if not mitigated by due date</t>
  </si>
  <si>
    <t>Status</t>
  </si>
  <si>
    <t>Closed Date</t>
  </si>
  <si>
    <t xml:space="preserve"> KT STATUS DASHBOARD</t>
  </si>
  <si>
    <t>KT STATUS DASHBOARD</t>
  </si>
  <si>
    <t>John</t>
  </si>
  <si>
    <t>Maddy</t>
  </si>
  <si>
    <t>Richard</t>
  </si>
  <si>
    <t>Madhav</t>
  </si>
  <si>
    <t xml:space="preserve">Cummins </t>
  </si>
  <si>
    <t>Vinod</t>
  </si>
  <si>
    <t>Prachi</t>
  </si>
  <si>
    <t>jonny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</si>
</sst>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rgb="FFFF0000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b/>
      <sz val="16"/>
      <color theme="0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  <font>
      <b/>
      <sz val="10"/>
      <color rgb="FFFFFF00"/>
      <name val="Calibri"/>
      <family val="2"/>
    </font>
    <font>
      <b/>
      <sz val="12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2"/>
      <color rgb="FFFFFF00"/>
      <name val="Calibri"/>
      <family val="2"/>
    </font>
    <font>
      <b/>
      <sz val="8"/>
      <color rgb="FFFF0000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rgb="FFFFFF0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AEC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double">
        <color theme="1" tint="0.499984740745262"/>
      </left>
      <right/>
      <top/>
      <bottom/>
      <diagonal/>
    </border>
    <border>
      <left/>
      <right style="double">
        <color theme="1" tint="0.499984740745262"/>
      </right>
      <top/>
      <bottom/>
      <diagonal/>
    </border>
    <border>
      <left style="double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top"/>
    </xf>
    <xf numFmtId="15" fontId="6" fillId="2" borderId="0" xfId="0" applyNumberFormat="1" applyFont="1" applyFill="1" applyAlignment="1">
      <alignment vertical="top"/>
    </xf>
    <xf numFmtId="0" fontId="7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5" fontId="10" fillId="10" borderId="6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2" fillId="6" borderId="14" xfId="0" applyFont="1" applyFill="1" applyBorder="1" applyAlignment="1">
      <alignment horizontal="left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9" fontId="12" fillId="6" borderId="20" xfId="1" applyFont="1" applyFill="1" applyBorder="1" applyAlignment="1">
      <alignment horizontal="center" vertical="center"/>
    </xf>
    <xf numFmtId="9" fontId="12" fillId="6" borderId="14" xfId="1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9" fontId="9" fillId="13" borderId="13" xfId="1" applyFont="1" applyFill="1" applyBorder="1" applyAlignment="1">
      <alignment horizontal="center" vertical="center"/>
    </xf>
    <xf numFmtId="9" fontId="9" fillId="13" borderId="4" xfId="1" applyFont="1" applyFill="1" applyBorder="1" applyAlignment="1">
      <alignment horizontal="center" vertical="center"/>
    </xf>
    <xf numFmtId="9" fontId="9" fillId="14" borderId="3" xfId="1" applyFont="1" applyFill="1" applyBorder="1" applyAlignment="1">
      <alignment horizontal="center" vertical="center"/>
    </xf>
    <xf numFmtId="9" fontId="9" fillId="14" borderId="1" xfId="1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0" xfId="0" applyFill="1"/>
    <xf numFmtId="0" fontId="0" fillId="5" borderId="21" xfId="0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22" xfId="0" applyFont="1" applyFill="1" applyBorder="1"/>
    <xf numFmtId="0" fontId="3" fillId="2" borderId="14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3" fillId="8" borderId="1" xfId="0" applyFont="1" applyFill="1" applyBorder="1"/>
    <xf numFmtId="0" fontId="3" fillId="8" borderId="3" xfId="0" applyFont="1" applyFill="1" applyBorder="1" applyAlignment="1">
      <alignment vertical="center"/>
    </xf>
    <xf numFmtId="9" fontId="2" fillId="2" borderId="4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5" fontId="2" fillId="4" borderId="14" xfId="0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3" fillId="0" borderId="4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" fillId="2" borderId="9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3" fillId="0" borderId="9" xfId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5" fontId="2" fillId="4" borderId="20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5" fontId="2" fillId="4" borderId="18" xfId="0" applyNumberFormat="1" applyFont="1" applyFill="1" applyBorder="1" applyAlignment="1">
      <alignment horizontal="center" vertical="center"/>
    </xf>
    <xf numFmtId="15" fontId="2" fillId="4" borderId="19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9" fontId="2" fillId="2" borderId="10" xfId="1" applyFont="1" applyFill="1" applyBorder="1" applyAlignment="1">
      <alignment horizontal="center" vertical="center"/>
    </xf>
    <xf numFmtId="9" fontId="2" fillId="2" borderId="11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9" fontId="3" fillId="0" borderId="10" xfId="1" applyFont="1" applyFill="1" applyBorder="1" applyAlignment="1">
      <alignment horizontal="center" vertical="center"/>
    </xf>
    <xf numFmtId="9" fontId="3" fillId="0" borderId="11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9" fontId="3" fillId="0" borderId="10" xfId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0" borderId="11" xfId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6" fillId="2" borderId="0" xfId="0" applyNumberFormat="1" applyFont="1" applyFill="1" applyAlignment="1">
      <alignment vertical="top"/>
    </xf>
    <xf numFmtId="0" fontId="2" fillId="0" borderId="10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8" borderId="23" xfId="0" applyFont="1" applyFill="1" applyBorder="1" applyAlignment="1">
      <alignment horizontal="left" vertical="center"/>
    </xf>
    <xf numFmtId="0" fontId="2" fillId="8" borderId="23" xfId="0" applyFont="1" applyFill="1" applyBorder="1" applyAlignment="1">
      <alignment horizontal="left" vertical="center"/>
    </xf>
    <xf numFmtId="0" fontId="2" fillId="8" borderId="14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15" borderId="26" xfId="0" applyFont="1" applyFill="1" applyBorder="1" applyAlignment="1">
      <alignment horizontal="center" vertical="center"/>
    </xf>
    <xf numFmtId="15" fontId="2" fillId="4" borderId="27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9" fontId="2" fillId="2" borderId="26" xfId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9" fontId="3" fillId="0" borderId="26" xfId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9" fontId="3" fillId="0" borderId="26" xfId="1" applyFont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3" fillId="15" borderId="30" xfId="0" applyFont="1" applyFill="1" applyBorder="1" applyAlignment="1">
      <alignment horizontal="center" vertical="center"/>
    </xf>
    <xf numFmtId="15" fontId="2" fillId="4" borderId="31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9" fontId="2" fillId="2" borderId="30" xfId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/>
    </xf>
    <xf numFmtId="9" fontId="3" fillId="0" borderId="30" xfId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9" fontId="3" fillId="0" borderId="30" xfId="1" applyFont="1" applyBorder="1" applyAlignment="1">
      <alignment horizontal="center" vertical="center"/>
    </xf>
    <xf numFmtId="15" fontId="0" fillId="2" borderId="21" xfId="0" applyNumberFormat="1" applyFill="1" applyBorder="1"/>
    <xf numFmtId="0" fontId="0" fillId="2" borderId="21" xfId="0" applyFill="1" applyBorder="1" applyAlignment="1">
      <alignment wrapText="1"/>
    </xf>
    <xf numFmtId="0" fontId="3" fillId="15" borderId="9" xfId="0" applyFont="1" applyFill="1" applyBorder="1" applyAlignment="1">
      <alignment horizontal="center" vertical="center"/>
    </xf>
    <xf numFmtId="15" fontId="2" fillId="4" borderId="17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3" fillId="15" borderId="34" xfId="0" applyFont="1" applyFill="1" applyBorder="1" applyAlignment="1">
      <alignment horizontal="center" vertical="center"/>
    </xf>
    <xf numFmtId="15" fontId="2" fillId="4" borderId="35" xfId="0" applyNumberFormat="1" applyFont="1" applyFill="1" applyBorder="1" applyAlignment="1">
      <alignment horizontal="center" vertical="center"/>
    </xf>
    <xf numFmtId="9" fontId="2" fillId="2" borderId="34" xfId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9" fontId="3" fillId="0" borderId="34" xfId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9" fontId="3" fillId="0" borderId="34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8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9" fontId="2" fillId="0" borderId="1" xfId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left" vertical="center"/>
    </xf>
    <xf numFmtId="9" fontId="2" fillId="0" borderId="42" xfId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8" borderId="41" xfId="0" applyFont="1" applyFill="1" applyBorder="1" applyAlignment="1">
      <alignment vertical="center" wrapText="1"/>
    </xf>
    <xf numFmtId="0" fontId="2" fillId="8" borderId="36" xfId="0" applyFont="1" applyFill="1" applyBorder="1" applyAlignment="1">
      <alignment vertical="center" wrapText="1"/>
    </xf>
    <xf numFmtId="0" fontId="2" fillId="16" borderId="36" xfId="0" applyFont="1" applyFill="1" applyBorder="1" applyAlignment="1">
      <alignment horizontal="center" vertical="center"/>
    </xf>
    <xf numFmtId="0" fontId="2" fillId="16" borderId="42" xfId="0" applyFont="1" applyFill="1" applyBorder="1" applyAlignment="1">
      <alignment horizontal="left" vertical="center"/>
    </xf>
    <xf numFmtId="0" fontId="2" fillId="16" borderId="41" xfId="0" applyFont="1" applyFill="1" applyBorder="1" applyAlignment="1">
      <alignment horizontal="center" vertical="center"/>
    </xf>
    <xf numFmtId="0" fontId="2" fillId="16" borderId="42" xfId="0" applyFont="1" applyFill="1" applyBorder="1" applyAlignment="1">
      <alignment horizontal="center" vertical="center"/>
    </xf>
    <xf numFmtId="0" fontId="2" fillId="16" borderId="37" xfId="0" applyFont="1" applyFill="1" applyBorder="1" applyAlignment="1">
      <alignment horizontal="center" vertical="center"/>
    </xf>
    <xf numFmtId="0" fontId="2" fillId="17" borderId="41" xfId="0" applyFont="1" applyFill="1" applyBorder="1" applyAlignment="1">
      <alignment horizontal="center" vertical="center"/>
    </xf>
    <xf numFmtId="0" fontId="2" fillId="17" borderId="36" xfId="0" applyFont="1" applyFill="1" applyBorder="1" applyAlignment="1">
      <alignment horizontal="center" vertical="center"/>
    </xf>
    <xf numFmtId="0" fontId="2" fillId="18" borderId="41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43" xfId="0" applyFont="1" applyFill="1" applyBorder="1" applyAlignment="1">
      <alignment horizontal="center" vertical="center"/>
    </xf>
    <xf numFmtId="0" fontId="2" fillId="18" borderId="44" xfId="0" applyFont="1" applyFill="1" applyBorder="1" applyAlignment="1">
      <alignment horizontal="center" vertical="center"/>
    </xf>
    <xf numFmtId="0" fontId="15" fillId="17" borderId="41" xfId="0" applyFont="1" applyFill="1" applyBorder="1" applyAlignment="1">
      <alignment horizontal="center" vertical="center"/>
    </xf>
    <xf numFmtId="0" fontId="17" fillId="16" borderId="42" xfId="0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vertical="top"/>
    </xf>
    <xf numFmtId="16" fontId="6" fillId="2" borderId="0" xfId="0" applyNumberFormat="1" applyFont="1" applyFill="1" applyAlignment="1">
      <alignment vertical="top"/>
    </xf>
    <xf numFmtId="0" fontId="6" fillId="2" borderId="36" xfId="0" applyFont="1" applyFill="1" applyBorder="1" applyAlignment="1">
      <alignment vertical="top"/>
    </xf>
    <xf numFmtId="0" fontId="11" fillId="8" borderId="36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left" vertical="center"/>
    </xf>
    <xf numFmtId="0" fontId="12" fillId="6" borderId="36" xfId="0" applyFont="1" applyFill="1" applyBorder="1" applyAlignment="1">
      <alignment horizontal="center" vertical="center"/>
    </xf>
    <xf numFmtId="9" fontId="12" fillId="6" borderId="36" xfId="1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0" fontId="9" fillId="12" borderId="36" xfId="0" applyFont="1" applyFill="1" applyBorder="1" applyAlignment="1">
      <alignment horizontal="center" vertical="center"/>
    </xf>
    <xf numFmtId="9" fontId="9" fillId="13" borderId="36" xfId="1" applyFont="1" applyFill="1" applyBorder="1" applyAlignment="1">
      <alignment horizontal="center" vertical="center"/>
    </xf>
    <xf numFmtId="9" fontId="9" fillId="14" borderId="36" xfId="1" applyFont="1" applyFill="1" applyBorder="1" applyAlignment="1">
      <alignment horizontal="center" vertical="center"/>
    </xf>
    <xf numFmtId="16" fontId="8" fillId="9" borderId="36" xfId="0" applyNumberFormat="1" applyFont="1" applyFill="1" applyBorder="1" applyAlignment="1">
      <alignment horizontal="left" vertical="top"/>
    </xf>
    <xf numFmtId="164" fontId="8" fillId="9" borderId="36" xfId="0" applyNumberFormat="1" applyFont="1" applyFill="1" applyBorder="1" applyAlignment="1">
      <alignment vertical="top"/>
    </xf>
    <xf numFmtId="0" fontId="21" fillId="6" borderId="36" xfId="0" applyFont="1" applyFill="1" applyBorder="1" applyAlignment="1">
      <alignment horizontal="left" vertical="center"/>
    </xf>
    <xf numFmtId="0" fontId="21" fillId="6" borderId="36" xfId="0" applyFont="1" applyFill="1" applyBorder="1" applyAlignment="1">
      <alignment horizontal="center" vertical="center"/>
    </xf>
    <xf numFmtId="9" fontId="21" fillId="6" borderId="36" xfId="1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vertical="center"/>
    </xf>
    <xf numFmtId="0" fontId="22" fillId="2" borderId="36" xfId="0" applyFont="1" applyFill="1" applyBorder="1" applyAlignment="1">
      <alignment horizontal="center" vertical="center"/>
    </xf>
    <xf numFmtId="0" fontId="22" fillId="11" borderId="36" xfId="0" applyFont="1" applyFill="1" applyBorder="1" applyAlignment="1">
      <alignment horizontal="center" vertical="center"/>
    </xf>
    <xf numFmtId="0" fontId="22" fillId="12" borderId="36" xfId="0" applyFont="1" applyFill="1" applyBorder="1" applyAlignment="1">
      <alignment horizontal="center" vertical="center"/>
    </xf>
    <xf numFmtId="9" fontId="22" fillId="13" borderId="36" xfId="1" applyFont="1" applyFill="1" applyBorder="1" applyAlignment="1">
      <alignment horizontal="center" vertical="center"/>
    </xf>
    <xf numFmtId="9" fontId="22" fillId="14" borderId="36" xfId="1" applyFont="1" applyFill="1" applyBorder="1" applyAlignment="1">
      <alignment horizontal="center" vertical="center"/>
    </xf>
    <xf numFmtId="16" fontId="18" fillId="9" borderId="36" xfId="0" applyNumberFormat="1" applyFont="1" applyFill="1" applyBorder="1" applyAlignment="1">
      <alignment horizontal="left" vertical="top" wrapText="1"/>
    </xf>
    <xf numFmtId="0" fontId="20" fillId="8" borderId="36" xfId="0" applyFont="1" applyFill="1" applyBorder="1" applyAlignment="1">
      <alignment horizontal="center" vertical="center" wrapText="1"/>
    </xf>
    <xf numFmtId="164" fontId="18" fillId="9" borderId="36" xfId="0" applyNumberFormat="1" applyFont="1" applyFill="1" applyBorder="1" applyAlignment="1">
      <alignment vertical="top" wrapText="1"/>
    </xf>
    <xf numFmtId="9" fontId="22" fillId="19" borderId="36" xfId="1" applyFont="1" applyFill="1" applyBorder="1" applyAlignment="1">
      <alignment horizontal="center" vertical="center"/>
    </xf>
    <xf numFmtId="0" fontId="8" fillId="21" borderId="36" xfId="0" applyFont="1" applyFill="1" applyBorder="1" applyAlignment="1">
      <alignment horizontal="center" vertical="center"/>
    </xf>
    <xf numFmtId="0" fontId="12" fillId="22" borderId="36" xfId="0" applyFont="1" applyFill="1" applyBorder="1" applyAlignment="1">
      <alignment horizontal="center" vertical="top"/>
    </xf>
    <xf numFmtId="0" fontId="12" fillId="22" borderId="0" xfId="0" applyFont="1" applyFill="1" applyAlignment="1">
      <alignment horizontal="center" vertical="top"/>
    </xf>
    <xf numFmtId="0" fontId="8" fillId="22" borderId="0" xfId="0" applyFont="1" applyFill="1" applyAlignment="1">
      <alignment horizontal="left" vertical="top"/>
    </xf>
    <xf numFmtId="16" fontId="12" fillId="2" borderId="0" xfId="0" applyNumberFormat="1" applyFont="1" applyFill="1" applyAlignment="1">
      <alignment vertical="top"/>
    </xf>
    <xf numFmtId="164" fontId="12" fillId="2" borderId="0" xfId="0" applyNumberFormat="1" applyFont="1" applyFill="1" applyAlignment="1">
      <alignment vertical="top"/>
    </xf>
    <xf numFmtId="164" fontId="8" fillId="21" borderId="0" xfId="0" applyNumberFormat="1" applyFont="1" applyFill="1" applyAlignment="1">
      <alignment horizontal="left" vertical="top"/>
    </xf>
    <xf numFmtId="0" fontId="9" fillId="19" borderId="21" xfId="0" applyFont="1" applyFill="1" applyBorder="1" applyAlignment="1">
      <alignment vertical="top"/>
    </xf>
    <xf numFmtId="0" fontId="9" fillId="23" borderId="21" xfId="0" applyFont="1" applyFill="1" applyBorder="1" applyAlignment="1">
      <alignment vertical="top"/>
    </xf>
    <xf numFmtId="15" fontId="8" fillId="22" borderId="36" xfId="0" applyNumberFormat="1" applyFont="1" applyFill="1" applyBorder="1" applyAlignment="1">
      <alignment horizontal="center" vertical="center"/>
    </xf>
    <xf numFmtId="16" fontId="8" fillId="21" borderId="0" xfId="0" applyNumberFormat="1" applyFont="1" applyFill="1" applyAlignment="1">
      <alignment horizontal="left" vertical="top"/>
    </xf>
    <xf numFmtId="164" fontId="8" fillId="21" borderId="0" xfId="0" applyNumberFormat="1" applyFont="1" applyFill="1" applyAlignment="1">
      <alignment vertical="top"/>
    </xf>
    <xf numFmtId="0" fontId="8" fillId="22" borderId="36" xfId="0" applyFont="1" applyFill="1" applyBorder="1" applyAlignment="1">
      <alignment horizontal="center" vertical="center"/>
    </xf>
    <xf numFmtId="9" fontId="2" fillId="2" borderId="37" xfId="1" applyFont="1" applyFill="1" applyBorder="1" applyAlignment="1">
      <alignment horizontal="center" vertical="center"/>
    </xf>
    <xf numFmtId="9" fontId="2" fillId="16" borderId="37" xfId="1" applyFont="1" applyFill="1" applyBorder="1" applyAlignment="1">
      <alignment horizontal="center" vertical="center"/>
    </xf>
    <xf numFmtId="9" fontId="2" fillId="2" borderId="46" xfId="1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15" fontId="2" fillId="4" borderId="36" xfId="0" applyNumberFormat="1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15" borderId="36" xfId="0" applyFont="1" applyFill="1" applyBorder="1" applyAlignment="1">
      <alignment horizontal="center" vertical="center"/>
    </xf>
    <xf numFmtId="0" fontId="2" fillId="8" borderId="70" xfId="0" applyFont="1" applyFill="1" applyBorder="1" applyAlignment="1">
      <alignment vertical="center" wrapText="1"/>
    </xf>
    <xf numFmtId="0" fontId="2" fillId="8" borderId="71" xfId="0" applyFont="1" applyFill="1" applyBorder="1" applyAlignment="1">
      <alignment vertical="center" wrapText="1"/>
    </xf>
    <xf numFmtId="0" fontId="2" fillId="8" borderId="50" xfId="0" applyFont="1" applyFill="1" applyBorder="1" applyAlignment="1">
      <alignment horizontal="left" vertical="center" wrapText="1"/>
    </xf>
    <xf numFmtId="0" fontId="2" fillId="8" borderId="50" xfId="0" applyFont="1" applyFill="1" applyBorder="1" applyAlignment="1">
      <alignment vertical="center" wrapText="1"/>
    </xf>
    <xf numFmtId="0" fontId="2" fillId="8" borderId="72" xfId="0" applyFont="1" applyFill="1" applyBorder="1" applyAlignment="1">
      <alignment vertical="center" wrapText="1"/>
    </xf>
    <xf numFmtId="0" fontId="3" fillId="8" borderId="38" xfId="0" applyFont="1" applyFill="1" applyBorder="1" applyAlignment="1">
      <alignment vertical="center" wrapText="1"/>
    </xf>
    <xf numFmtId="0" fontId="3" fillId="8" borderId="39" xfId="0" applyFont="1" applyFill="1" applyBorder="1" applyAlignment="1">
      <alignment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3" fillId="8" borderId="43" xfId="0" applyFont="1" applyFill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/>
    </xf>
    <xf numFmtId="9" fontId="3" fillId="8" borderId="45" xfId="1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vertical="top" wrapText="1"/>
    </xf>
    <xf numFmtId="0" fontId="2" fillId="18" borderId="37" xfId="0" applyFont="1" applyFill="1" applyBorder="1" applyAlignment="1">
      <alignment horizontal="center" vertical="center"/>
    </xf>
    <xf numFmtId="0" fontId="2" fillId="17" borderId="37" xfId="0" applyFont="1" applyFill="1" applyBorder="1" applyAlignment="1">
      <alignment horizontal="center" vertical="center"/>
    </xf>
    <xf numFmtId="9" fontId="2" fillId="16" borderId="36" xfId="1" applyFont="1" applyFill="1" applyBorder="1" applyAlignment="1">
      <alignment horizontal="center" vertical="center"/>
    </xf>
    <xf numFmtId="9" fontId="2" fillId="0" borderId="42" xfId="1" applyFont="1" applyBorder="1" applyAlignment="1">
      <alignment horizontal="center" vertical="center"/>
    </xf>
    <xf numFmtId="0" fontId="23" fillId="24" borderId="36" xfId="0" applyFont="1" applyFill="1" applyBorder="1" applyAlignment="1">
      <alignment horizontal="center" vertical="center"/>
    </xf>
    <xf numFmtId="9" fontId="23" fillId="24" borderId="37" xfId="1" applyFont="1" applyFill="1" applyBorder="1" applyAlignment="1">
      <alignment horizontal="center" vertical="center"/>
    </xf>
    <xf numFmtId="0" fontId="23" fillId="24" borderId="41" xfId="0" applyFont="1" applyFill="1" applyBorder="1" applyAlignment="1">
      <alignment horizontal="center" vertical="center"/>
    </xf>
    <xf numFmtId="9" fontId="23" fillId="24" borderId="42" xfId="1" applyFont="1" applyFill="1" applyBorder="1" applyAlignment="1">
      <alignment horizontal="center" vertical="center"/>
    </xf>
    <xf numFmtId="0" fontId="24" fillId="0" borderId="0" xfId="0" applyFont="1"/>
    <xf numFmtId="0" fontId="25" fillId="24" borderId="36" xfId="0" applyFont="1" applyFill="1" applyBorder="1" applyAlignment="1">
      <alignment horizontal="center" vertical="center"/>
    </xf>
    <xf numFmtId="9" fontId="25" fillId="24" borderId="42" xfId="1" applyFont="1" applyFill="1" applyBorder="1" applyAlignment="1">
      <alignment horizontal="center" vertical="center"/>
    </xf>
    <xf numFmtId="0" fontId="25" fillId="24" borderId="41" xfId="0" applyFont="1" applyFill="1" applyBorder="1" applyAlignment="1">
      <alignment horizontal="center" vertical="center"/>
    </xf>
    <xf numFmtId="0" fontId="27" fillId="25" borderId="44" xfId="0" applyFont="1" applyFill="1" applyBorder="1" applyAlignment="1">
      <alignment horizontal="center" vertical="center"/>
    </xf>
    <xf numFmtId="9" fontId="27" fillId="25" borderId="45" xfId="1" applyFont="1" applyFill="1" applyBorder="1" applyAlignment="1">
      <alignment horizontal="center" vertical="center"/>
    </xf>
    <xf numFmtId="0" fontId="0" fillId="0" borderId="59" xfId="0" applyBorder="1"/>
    <xf numFmtId="0" fontId="0" fillId="0" borderId="61" xfId="0" applyBorder="1"/>
    <xf numFmtId="0" fontId="0" fillId="0" borderId="55" xfId="0" applyBorder="1"/>
    <xf numFmtId="0" fontId="0" fillId="0" borderId="47" xfId="0" applyBorder="1"/>
    <xf numFmtId="0" fontId="3" fillId="8" borderId="74" xfId="0" applyFont="1" applyFill="1" applyBorder="1" applyAlignment="1">
      <alignment vertical="center" wrapText="1"/>
    </xf>
    <xf numFmtId="0" fontId="27" fillId="25" borderId="46" xfId="0" applyFont="1" applyFill="1" applyBorder="1" applyAlignment="1">
      <alignment horizontal="center" vertical="center" wrapText="1"/>
    </xf>
    <xf numFmtId="0" fontId="2" fillId="17" borderId="41" xfId="0" quotePrefix="1" applyFont="1" applyFill="1" applyBorder="1" applyAlignment="1">
      <alignment horizontal="center" vertical="center"/>
    </xf>
    <xf numFmtId="0" fontId="2" fillId="17" borderId="36" xfId="0" quotePrefix="1" applyFont="1" applyFill="1" applyBorder="1" applyAlignment="1">
      <alignment horizontal="center" vertical="center"/>
    </xf>
    <xf numFmtId="0" fontId="2" fillId="17" borderId="36" xfId="0" applyFont="1" applyFill="1" applyBorder="1" applyAlignment="1">
      <alignment horizontal="left" vertical="center"/>
    </xf>
    <xf numFmtId="0" fontId="9" fillId="17" borderId="21" xfId="0" applyFont="1" applyFill="1" applyBorder="1" applyAlignment="1">
      <alignment vertical="top"/>
    </xf>
    <xf numFmtId="0" fontId="2" fillId="0" borderId="42" xfId="0" applyFont="1" applyBorder="1" applyAlignment="1">
      <alignment horizontal="left" vertical="top"/>
    </xf>
    <xf numFmtId="0" fontId="3" fillId="17" borderId="49" xfId="0" applyFont="1" applyFill="1" applyBorder="1" applyAlignment="1">
      <alignment horizontal="center" vertical="center" textRotation="255"/>
    </xf>
    <xf numFmtId="0" fontId="3" fillId="17" borderId="50" xfId="0" applyFont="1" applyFill="1" applyBorder="1" applyAlignment="1">
      <alignment horizontal="center" vertical="center" textRotation="255"/>
    </xf>
    <xf numFmtId="0" fontId="3" fillId="17" borderId="49" xfId="0" applyFont="1" applyFill="1" applyBorder="1" applyAlignment="1">
      <alignment vertical="center" textRotation="255"/>
    </xf>
    <xf numFmtId="0" fontId="3" fillId="17" borderId="50" xfId="0" applyFont="1" applyFill="1" applyBorder="1" applyAlignment="1">
      <alignment vertical="center" textRotation="255"/>
    </xf>
    <xf numFmtId="0" fontId="27" fillId="25" borderId="43" xfId="0" applyFont="1" applyFill="1" applyBorder="1" applyAlignment="1">
      <alignment horizontal="center" vertical="center"/>
    </xf>
    <xf numFmtId="0" fontId="2" fillId="0" borderId="41" xfId="0" quotePrefix="1" applyFont="1" applyBorder="1" applyAlignment="1">
      <alignment horizontal="center" vertical="center"/>
    </xf>
    <xf numFmtId="15" fontId="2" fillId="16" borderId="36" xfId="0" applyNumberFormat="1" applyFont="1" applyFill="1" applyBorder="1" applyAlignment="1">
      <alignment horizontal="center" vertical="center"/>
    </xf>
    <xf numFmtId="0" fontId="28" fillId="20" borderId="74" xfId="0" applyFont="1" applyFill="1" applyBorder="1" applyAlignment="1">
      <alignment horizontal="center" vertical="center"/>
    </xf>
    <xf numFmtId="0" fontId="28" fillId="20" borderId="39" xfId="0" applyFont="1" applyFill="1" applyBorder="1" applyAlignment="1">
      <alignment horizontal="center" vertical="center"/>
    </xf>
    <xf numFmtId="0" fontId="28" fillId="20" borderId="40" xfId="0" applyFont="1" applyFill="1" applyBorder="1" applyAlignment="1">
      <alignment horizontal="center" vertical="center"/>
    </xf>
    <xf numFmtId="0" fontId="28" fillId="20" borderId="75" xfId="0" applyFont="1" applyFill="1" applyBorder="1" applyAlignment="1">
      <alignment horizontal="center" vertical="center"/>
    </xf>
    <xf numFmtId="0" fontId="28" fillId="20" borderId="76" xfId="0" applyFont="1" applyFill="1" applyBorder="1" applyAlignment="1">
      <alignment horizontal="center" vertical="center"/>
    </xf>
    <xf numFmtId="0" fontId="28" fillId="20" borderId="48" xfId="0" applyFont="1" applyFill="1" applyBorder="1" applyAlignment="1">
      <alignment horizontal="center" vertical="center"/>
    </xf>
    <xf numFmtId="0" fontId="14" fillId="20" borderId="59" xfId="0" applyFont="1" applyFill="1" applyBorder="1" applyAlignment="1">
      <alignment horizontal="center" vertical="center"/>
    </xf>
    <xf numFmtId="0" fontId="14" fillId="20" borderId="60" xfId="0" applyFont="1" applyFill="1" applyBorder="1" applyAlignment="1">
      <alignment horizontal="center" vertical="center"/>
    </xf>
    <xf numFmtId="0" fontId="14" fillId="20" borderId="55" xfId="0" applyFont="1" applyFill="1" applyBorder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14" fillId="20" borderId="47" xfId="0" applyFont="1" applyFill="1" applyBorder="1" applyAlignment="1">
      <alignment horizontal="center" vertical="center"/>
    </xf>
    <xf numFmtId="0" fontId="14" fillId="20" borderId="56" xfId="0" applyFont="1" applyFill="1" applyBorder="1" applyAlignment="1">
      <alignment horizontal="center" vertical="center"/>
    </xf>
    <xf numFmtId="0" fontId="14" fillId="20" borderId="57" xfId="0" applyFont="1" applyFill="1" applyBorder="1" applyAlignment="1">
      <alignment horizontal="center" vertical="center"/>
    </xf>
    <xf numFmtId="0" fontId="14" fillId="20" borderId="58" xfId="0" applyFont="1" applyFill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29" fillId="2" borderId="80" xfId="0" applyFont="1" applyFill="1" applyBorder="1" applyAlignment="1">
      <alignment horizontal="center" vertical="center" wrapText="1"/>
    </xf>
    <xf numFmtId="0" fontId="29" fillId="2" borderId="81" xfId="0" applyFont="1" applyFill="1" applyBorder="1" applyAlignment="1">
      <alignment horizontal="center" vertical="center" wrapText="1"/>
    </xf>
    <xf numFmtId="0" fontId="26" fillId="24" borderId="73" xfId="0" applyFont="1" applyFill="1" applyBorder="1" applyAlignment="1">
      <alignment horizontal="center" vertical="center"/>
    </xf>
    <xf numFmtId="0" fontId="26" fillId="24" borderId="72" xfId="0" applyFont="1" applyFill="1" applyBorder="1" applyAlignment="1">
      <alignment horizontal="center" vertical="center"/>
    </xf>
    <xf numFmtId="0" fontId="30" fillId="17" borderId="48" xfId="0" applyFont="1" applyFill="1" applyBorder="1" applyAlignment="1">
      <alignment horizontal="center" vertical="center" textRotation="255"/>
    </xf>
    <xf numFmtId="0" fontId="30" fillId="17" borderId="49" xfId="0" applyFont="1" applyFill="1" applyBorder="1" applyAlignment="1">
      <alignment horizontal="center" vertical="center" textRotation="255"/>
    </xf>
    <xf numFmtId="0" fontId="30" fillId="17" borderId="50" xfId="0" applyFont="1" applyFill="1" applyBorder="1" applyAlignment="1">
      <alignment horizontal="center" vertical="center" textRotation="255"/>
    </xf>
    <xf numFmtId="0" fontId="18" fillId="9" borderId="36" xfId="0" applyFont="1" applyFill="1" applyBorder="1" applyAlignment="1">
      <alignment horizontal="center" vertical="center" wrapText="1"/>
    </xf>
    <xf numFmtId="0" fontId="8" fillId="22" borderId="36" xfId="0" applyFont="1" applyFill="1" applyBorder="1" applyAlignment="1">
      <alignment horizontal="center" vertical="center"/>
    </xf>
    <xf numFmtId="15" fontId="8" fillId="22" borderId="36" xfId="0" applyNumberFormat="1" applyFont="1" applyFill="1" applyBorder="1" applyAlignment="1">
      <alignment horizontal="center" vertical="center"/>
    </xf>
    <xf numFmtId="0" fontId="8" fillId="21" borderId="36" xfId="0" applyFont="1" applyFill="1" applyBorder="1" applyAlignment="1">
      <alignment horizontal="center" vertical="center"/>
    </xf>
    <xf numFmtId="0" fontId="8" fillId="21" borderId="36" xfId="0" applyFont="1" applyFill="1" applyBorder="1" applyAlignment="1">
      <alignment horizontal="center" vertical="center" wrapText="1"/>
    </xf>
    <xf numFmtId="0" fontId="18" fillId="9" borderId="3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15" fontId="10" fillId="10" borderId="6" xfId="0" applyNumberFormat="1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" fillId="19" borderId="52" xfId="0" applyFont="1" applyFill="1" applyBorder="1" applyAlignment="1">
      <alignment horizontal="center" vertical="center"/>
    </xf>
    <xf numFmtId="0" fontId="3" fillId="19" borderId="53" xfId="0" applyFont="1" applyFill="1" applyBorder="1" applyAlignment="1">
      <alignment horizontal="center" vertical="center"/>
    </xf>
    <xf numFmtId="0" fontId="3" fillId="19" borderId="54" xfId="0" applyFont="1" applyFill="1" applyBorder="1" applyAlignment="1">
      <alignment horizontal="center" vertical="center"/>
    </xf>
    <xf numFmtId="0" fontId="3" fillId="19" borderId="55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9" borderId="47" xfId="0" applyFont="1" applyFill="1" applyBorder="1" applyAlignment="1">
      <alignment horizontal="center" vertical="center"/>
    </xf>
    <xf numFmtId="0" fontId="3" fillId="19" borderId="56" xfId="0" applyFont="1" applyFill="1" applyBorder="1" applyAlignment="1">
      <alignment horizontal="center" vertical="center"/>
    </xf>
    <xf numFmtId="0" fontId="3" fillId="19" borderId="57" xfId="0" applyFont="1" applyFill="1" applyBorder="1" applyAlignment="1">
      <alignment horizontal="center" vertical="center"/>
    </xf>
    <xf numFmtId="0" fontId="3" fillId="19" borderId="58" xfId="0" applyFont="1" applyFill="1" applyBorder="1" applyAlignment="1">
      <alignment horizontal="center" vertical="center"/>
    </xf>
    <xf numFmtId="0" fontId="3" fillId="18" borderId="48" xfId="0" applyFont="1" applyFill="1" applyBorder="1" applyAlignment="1">
      <alignment horizontal="center" vertical="center" textRotation="255"/>
    </xf>
    <xf numFmtId="0" fontId="3" fillId="18" borderId="49" xfId="0" applyFont="1" applyFill="1" applyBorder="1" applyAlignment="1">
      <alignment horizontal="center" vertical="center" textRotation="255"/>
    </xf>
    <xf numFmtId="0" fontId="3" fillId="18" borderId="50" xfId="0" applyFont="1" applyFill="1" applyBorder="1" applyAlignment="1">
      <alignment horizontal="center" vertical="center" textRotation="255"/>
    </xf>
    <xf numFmtId="0" fontId="3" fillId="18" borderId="51" xfId="0" applyFont="1" applyFill="1" applyBorder="1" applyAlignment="1">
      <alignment horizontal="center" vertical="center" textRotation="255"/>
    </xf>
    <xf numFmtId="0" fontId="3" fillId="17" borderId="48" xfId="0" applyFont="1" applyFill="1" applyBorder="1" applyAlignment="1">
      <alignment horizontal="center" vertical="center" textRotation="255"/>
    </xf>
    <xf numFmtId="0" fontId="3" fillId="17" borderId="49" xfId="0" applyFont="1" applyFill="1" applyBorder="1" applyAlignment="1">
      <alignment horizontal="center" vertical="center" textRotation="255"/>
    </xf>
    <xf numFmtId="0" fontId="3" fillId="17" borderId="50" xfId="0" applyFont="1" applyFill="1" applyBorder="1" applyAlignment="1">
      <alignment horizontal="center" vertical="center" textRotation="255"/>
    </xf>
    <xf numFmtId="0" fontId="14" fillId="0" borderId="69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4" fillId="20" borderId="61" xfId="0" applyFont="1" applyFill="1" applyBorder="1" applyAlignment="1">
      <alignment horizontal="center" vertical="center"/>
    </xf>
    <xf numFmtId="0" fontId="14" fillId="20" borderId="62" xfId="0" applyFont="1" applyFill="1" applyBorder="1" applyAlignment="1">
      <alignment horizontal="center" vertical="center"/>
    </xf>
    <xf numFmtId="0" fontId="14" fillId="20" borderId="63" xfId="0" applyFont="1" applyFill="1" applyBorder="1" applyAlignment="1">
      <alignment horizontal="center" vertical="center"/>
    </xf>
    <xf numFmtId="0" fontId="14" fillId="20" borderId="64" xfId="0" applyFont="1" applyFill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8"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AECF9"/>
      <color rgb="FFFFFFEF"/>
      <color rgb="FFFDF2ED"/>
      <color rgb="FFEEF5FC"/>
      <color rgb="FF008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2</xdr:row>
      <xdr:rowOff>23704</xdr:rowOff>
    </xdr:from>
    <xdr:to>
      <xdr:col>8</xdr:col>
      <xdr:colOff>320040</xdr:colOff>
      <xdr:row>2</xdr:row>
      <xdr:rowOff>252304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E983ACF-FB5A-4461-ACDA-30F83472B556}"/>
            </a:ext>
          </a:extLst>
        </xdr:cNvPr>
        <xdr:cNvSpPr/>
      </xdr:nvSpPr>
      <xdr:spPr>
        <a:xfrm>
          <a:off x="3139440" y="414229"/>
          <a:ext cx="228600" cy="228600"/>
        </a:xfrm>
        <a:prstGeom prst="flowChartConnector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2</xdr:row>
      <xdr:rowOff>23704</xdr:rowOff>
    </xdr:from>
    <xdr:to>
      <xdr:col>13</xdr:col>
      <xdr:colOff>304800</xdr:colOff>
      <xdr:row>2</xdr:row>
      <xdr:rowOff>252304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52B175F9-65F5-44AD-8BE0-3A7370EBBA11}"/>
            </a:ext>
          </a:extLst>
        </xdr:cNvPr>
        <xdr:cNvSpPr/>
      </xdr:nvSpPr>
      <xdr:spPr>
        <a:xfrm>
          <a:off x="5219700" y="41422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2</xdr:row>
      <xdr:rowOff>38944</xdr:rowOff>
    </xdr:from>
    <xdr:to>
      <xdr:col>18</xdr:col>
      <xdr:colOff>304800</xdr:colOff>
      <xdr:row>2</xdr:row>
      <xdr:rowOff>267544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B270C4A7-F748-43A1-8710-D7BAE9AFB971}"/>
            </a:ext>
          </a:extLst>
        </xdr:cNvPr>
        <xdr:cNvSpPr/>
      </xdr:nvSpPr>
      <xdr:spPr>
        <a:xfrm>
          <a:off x="7381875" y="42946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60960</xdr:colOff>
      <xdr:row>2</xdr:row>
      <xdr:rowOff>31324</xdr:rowOff>
    </xdr:from>
    <xdr:to>
      <xdr:col>23</xdr:col>
      <xdr:colOff>289560</xdr:colOff>
      <xdr:row>2</xdr:row>
      <xdr:rowOff>259924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91EE1FA8-48C5-4628-B226-8EB893DF4AA8}"/>
            </a:ext>
          </a:extLst>
        </xdr:cNvPr>
        <xdr:cNvSpPr/>
      </xdr:nvSpPr>
      <xdr:spPr>
        <a:xfrm>
          <a:off x="9462135" y="42184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91440</xdr:colOff>
      <xdr:row>2</xdr:row>
      <xdr:rowOff>38944</xdr:rowOff>
    </xdr:from>
    <xdr:to>
      <xdr:col>28</xdr:col>
      <xdr:colOff>320040</xdr:colOff>
      <xdr:row>2</xdr:row>
      <xdr:rowOff>267544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024C9402-B724-465C-919C-A80CDFF62B6E}"/>
            </a:ext>
          </a:extLst>
        </xdr:cNvPr>
        <xdr:cNvSpPr/>
      </xdr:nvSpPr>
      <xdr:spPr>
        <a:xfrm>
          <a:off x="11588115" y="42946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76200</xdr:colOff>
      <xdr:row>2</xdr:row>
      <xdr:rowOff>31324</xdr:rowOff>
    </xdr:from>
    <xdr:to>
      <xdr:col>33</xdr:col>
      <xdr:colOff>304800</xdr:colOff>
      <xdr:row>2</xdr:row>
      <xdr:rowOff>259924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B1E18E5C-1BC2-4521-9D75-144FE85FF8F1}"/>
            </a:ext>
          </a:extLst>
        </xdr:cNvPr>
        <xdr:cNvSpPr/>
      </xdr:nvSpPr>
      <xdr:spPr>
        <a:xfrm>
          <a:off x="13668375" y="42184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68580</xdr:colOff>
      <xdr:row>2</xdr:row>
      <xdr:rowOff>23704</xdr:rowOff>
    </xdr:from>
    <xdr:to>
      <xdr:col>38</xdr:col>
      <xdr:colOff>297180</xdr:colOff>
      <xdr:row>2</xdr:row>
      <xdr:rowOff>252304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8366F43F-CEC8-47CF-9337-AE6837E01E08}"/>
            </a:ext>
          </a:extLst>
        </xdr:cNvPr>
        <xdr:cNvSpPr/>
      </xdr:nvSpPr>
      <xdr:spPr>
        <a:xfrm>
          <a:off x="15756255" y="41422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76200</xdr:colOff>
      <xdr:row>2</xdr:row>
      <xdr:rowOff>23704</xdr:rowOff>
    </xdr:from>
    <xdr:to>
      <xdr:col>43</xdr:col>
      <xdr:colOff>304800</xdr:colOff>
      <xdr:row>2</xdr:row>
      <xdr:rowOff>252304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B566CD92-F023-492C-9C9C-7ABB6451E85D}"/>
            </a:ext>
          </a:extLst>
        </xdr:cNvPr>
        <xdr:cNvSpPr/>
      </xdr:nvSpPr>
      <xdr:spPr>
        <a:xfrm>
          <a:off x="17859375" y="414229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68580</xdr:colOff>
      <xdr:row>2</xdr:row>
      <xdr:rowOff>23704</xdr:rowOff>
    </xdr:from>
    <xdr:to>
      <xdr:col>53</xdr:col>
      <xdr:colOff>297180</xdr:colOff>
      <xdr:row>2</xdr:row>
      <xdr:rowOff>252304</xdr:rowOff>
    </xdr:to>
    <xdr:sp macro="" textlink="">
      <xdr:nvSpPr>
        <xdr:cNvPr id="10" name="Flowchart: Connector 10">
          <a:extLst>
            <a:ext uri="{FF2B5EF4-FFF2-40B4-BE49-F238E27FC236}">
              <a16:creationId xmlns:a16="http://schemas.microsoft.com/office/drawing/2014/main" id="{187D2113-909C-4E89-9536-CD191B204C13}"/>
            </a:ext>
          </a:extLst>
        </xdr:cNvPr>
        <xdr:cNvSpPr/>
      </xdr:nvSpPr>
      <xdr:spPr>
        <a:xfrm>
          <a:off x="22042755" y="414229"/>
          <a:ext cx="228600" cy="228600"/>
        </a:xfrm>
        <a:prstGeom prst="flowChartConnector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33867</xdr:colOff>
      <xdr:row>2</xdr:row>
      <xdr:rowOff>25400</xdr:rowOff>
    </xdr:from>
    <xdr:to>
      <xdr:col>48</xdr:col>
      <xdr:colOff>262467</xdr:colOff>
      <xdr:row>2</xdr:row>
      <xdr:rowOff>254000</xdr:rowOff>
    </xdr:to>
    <xdr:sp macro="" textlink="">
      <xdr:nvSpPr>
        <xdr:cNvPr id="11" name="Flowchart: Connector 14">
          <a:extLst>
            <a:ext uri="{FF2B5EF4-FFF2-40B4-BE49-F238E27FC236}">
              <a16:creationId xmlns:a16="http://schemas.microsoft.com/office/drawing/2014/main" id="{91EDF6AC-CBA5-4D39-92D0-5092D43C49F0}"/>
            </a:ext>
          </a:extLst>
        </xdr:cNvPr>
        <xdr:cNvSpPr/>
      </xdr:nvSpPr>
      <xdr:spPr>
        <a:xfrm>
          <a:off x="19912542" y="415925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3</xdr:row>
      <xdr:rowOff>23704</xdr:rowOff>
    </xdr:from>
    <xdr:to>
      <xdr:col>8</xdr:col>
      <xdr:colOff>320040</xdr:colOff>
      <xdr:row>3</xdr:row>
      <xdr:rowOff>252304</xdr:rowOff>
    </xdr:to>
    <xdr:sp macro="" textlink="">
      <xdr:nvSpPr>
        <xdr:cNvPr id="11" name="Flowchart: Connector 1">
          <a:extLst>
            <a:ext uri="{FF2B5EF4-FFF2-40B4-BE49-F238E27FC236}">
              <a16:creationId xmlns:a16="http://schemas.microsoft.com/office/drawing/2014/main" id="{82B78EC5-ADF3-09C7-2589-DB9A3E02712D}"/>
            </a:ext>
          </a:extLst>
        </xdr:cNvPr>
        <xdr:cNvSpPr/>
      </xdr:nvSpPr>
      <xdr:spPr>
        <a:xfrm>
          <a:off x="3232573" y="404704"/>
          <a:ext cx="228600" cy="228600"/>
        </a:xfrm>
        <a:prstGeom prst="flowChartConnector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3</xdr:row>
      <xdr:rowOff>23704</xdr:rowOff>
    </xdr:from>
    <xdr:to>
      <xdr:col>13</xdr:col>
      <xdr:colOff>304800</xdr:colOff>
      <xdr:row>3</xdr:row>
      <xdr:rowOff>252304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3057811F-A4A5-4774-8383-3F3238FEB3DE}"/>
            </a:ext>
          </a:extLst>
        </xdr:cNvPr>
        <xdr:cNvSpPr/>
      </xdr:nvSpPr>
      <xdr:spPr>
        <a:xfrm>
          <a:off x="5376333" y="40470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3</xdr:row>
      <xdr:rowOff>38944</xdr:rowOff>
    </xdr:from>
    <xdr:to>
      <xdr:col>18</xdr:col>
      <xdr:colOff>304800</xdr:colOff>
      <xdr:row>3</xdr:row>
      <xdr:rowOff>267544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F52A1A84-5098-42E7-9FD1-BC3CC3D8FCB2}"/>
            </a:ext>
          </a:extLst>
        </xdr:cNvPr>
        <xdr:cNvSpPr/>
      </xdr:nvSpPr>
      <xdr:spPr>
        <a:xfrm>
          <a:off x="7603067" y="41994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91440</xdr:colOff>
      <xdr:row>3</xdr:row>
      <xdr:rowOff>38944</xdr:rowOff>
    </xdr:from>
    <xdr:to>
      <xdr:col>28</xdr:col>
      <xdr:colOff>320040</xdr:colOff>
      <xdr:row>3</xdr:row>
      <xdr:rowOff>267544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DE029A2E-98EA-4167-B23D-010F053B2220}"/>
            </a:ext>
          </a:extLst>
        </xdr:cNvPr>
        <xdr:cNvSpPr/>
      </xdr:nvSpPr>
      <xdr:spPr>
        <a:xfrm>
          <a:off x="11936307" y="41994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76200</xdr:colOff>
      <xdr:row>3</xdr:row>
      <xdr:rowOff>31324</xdr:rowOff>
    </xdr:from>
    <xdr:to>
      <xdr:col>33</xdr:col>
      <xdr:colOff>304800</xdr:colOff>
      <xdr:row>3</xdr:row>
      <xdr:rowOff>259924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94131BEB-5172-4072-B686-0A27814E755E}"/>
            </a:ext>
          </a:extLst>
        </xdr:cNvPr>
        <xdr:cNvSpPr/>
      </xdr:nvSpPr>
      <xdr:spPr>
        <a:xfrm>
          <a:off x="14080067" y="41232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68580</xdr:colOff>
      <xdr:row>3</xdr:row>
      <xdr:rowOff>23704</xdr:rowOff>
    </xdr:from>
    <xdr:to>
      <xdr:col>38</xdr:col>
      <xdr:colOff>297180</xdr:colOff>
      <xdr:row>3</xdr:row>
      <xdr:rowOff>252304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40AF441B-087E-4A9D-8D66-BE89DD20B73D}"/>
            </a:ext>
          </a:extLst>
        </xdr:cNvPr>
        <xdr:cNvSpPr/>
      </xdr:nvSpPr>
      <xdr:spPr>
        <a:xfrm>
          <a:off x="16231447" y="40470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76200</xdr:colOff>
      <xdr:row>3</xdr:row>
      <xdr:rowOff>23704</xdr:rowOff>
    </xdr:from>
    <xdr:to>
      <xdr:col>43</xdr:col>
      <xdr:colOff>304800</xdr:colOff>
      <xdr:row>3</xdr:row>
      <xdr:rowOff>252304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C2EF7D27-0857-4C3D-9A78-B16B83916C86}"/>
            </a:ext>
          </a:extLst>
        </xdr:cNvPr>
        <xdr:cNvSpPr/>
      </xdr:nvSpPr>
      <xdr:spPr>
        <a:xfrm>
          <a:off x="18398067" y="40470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33867</xdr:colOff>
      <xdr:row>3</xdr:row>
      <xdr:rowOff>25400</xdr:rowOff>
    </xdr:from>
    <xdr:to>
      <xdr:col>48</xdr:col>
      <xdr:colOff>262467</xdr:colOff>
      <xdr:row>3</xdr:row>
      <xdr:rowOff>254000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F84E81D-D110-42B2-A22C-405106A84619}"/>
            </a:ext>
          </a:extLst>
        </xdr:cNvPr>
        <xdr:cNvSpPr/>
      </xdr:nvSpPr>
      <xdr:spPr>
        <a:xfrm>
          <a:off x="20514734" y="406400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69426</xdr:colOff>
      <xdr:row>3</xdr:row>
      <xdr:rowOff>22857</xdr:rowOff>
    </xdr:from>
    <xdr:to>
      <xdr:col>23</xdr:col>
      <xdr:colOff>298026</xdr:colOff>
      <xdr:row>3</xdr:row>
      <xdr:rowOff>251457</xdr:rowOff>
    </xdr:to>
    <xdr:sp macro="" textlink="">
      <xdr:nvSpPr>
        <xdr:cNvPr id="10" name="Flowchart: Connector 15">
          <a:extLst>
            <a:ext uri="{FF2B5EF4-FFF2-40B4-BE49-F238E27FC236}">
              <a16:creationId xmlns:a16="http://schemas.microsoft.com/office/drawing/2014/main" id="{8AF21D6D-CC0F-4B4C-BBA7-674B88F4574C}"/>
            </a:ext>
          </a:extLst>
        </xdr:cNvPr>
        <xdr:cNvSpPr/>
      </xdr:nvSpPr>
      <xdr:spPr>
        <a:xfrm>
          <a:off x="9899226" y="598590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93980</xdr:colOff>
      <xdr:row>3</xdr:row>
      <xdr:rowOff>23704</xdr:rowOff>
    </xdr:from>
    <xdr:to>
      <xdr:col>53</xdr:col>
      <xdr:colOff>322580</xdr:colOff>
      <xdr:row>3</xdr:row>
      <xdr:rowOff>252304</xdr:rowOff>
    </xdr:to>
    <xdr:sp macro="" textlink="">
      <xdr:nvSpPr>
        <xdr:cNvPr id="14" name="Flowchart: Connector 16">
          <a:extLst>
            <a:ext uri="{FF2B5EF4-FFF2-40B4-BE49-F238E27FC236}">
              <a16:creationId xmlns:a16="http://schemas.microsoft.com/office/drawing/2014/main" id="{AC012C6C-08D7-4B7F-8067-12FF2FB500AA}"/>
            </a:ext>
          </a:extLst>
        </xdr:cNvPr>
        <xdr:cNvSpPr/>
      </xdr:nvSpPr>
      <xdr:spPr>
        <a:xfrm>
          <a:off x="23097913" y="404704"/>
          <a:ext cx="228600" cy="228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8E7-EDC1-4720-8884-CBF8C4DCF12F}">
  <dimension ref="B1:AY45"/>
  <sheetViews>
    <sheetView tabSelected="1" workbookViewId="0">
      <selection activeCell="C28" sqref="C28"/>
    </sheetView>
  </sheetViews>
  <sheetFormatPr defaultColWidth="8.85546875" defaultRowHeight="15.75" x14ac:dyDescent="0.25"/>
  <cols>
    <col min="1" max="1" width="2.7109375" style="16" customWidth="1"/>
    <col min="2" max="2" width="24.85546875" style="16" customWidth="1"/>
    <col min="3" max="3" width="24.7109375" style="16" customWidth="1"/>
    <col min="4" max="4" width="22.5703125" style="15" customWidth="1"/>
    <col min="5" max="5" width="8.140625" style="15" bestFit="1" customWidth="1"/>
    <col min="6" max="6" width="7.7109375" style="15" bestFit="1" customWidth="1"/>
    <col min="7" max="8" width="8.140625" style="15" customWidth="1"/>
    <col min="9" max="9" width="23.28515625" style="15" customWidth="1"/>
    <col min="10" max="10" width="19.28515625" style="15" bestFit="1" customWidth="1"/>
    <col min="11" max="11" width="42" style="16" hidden="1" customWidth="1"/>
    <col min="12" max="12" width="24.85546875" style="16" hidden="1" customWidth="1"/>
    <col min="13" max="13" width="43.28515625" style="16" hidden="1" customWidth="1"/>
    <col min="14" max="15" width="0" style="16" hidden="1" customWidth="1"/>
    <col min="16" max="16" width="44.42578125" style="16" hidden="1" customWidth="1"/>
    <col min="17" max="17" width="43.140625" style="16" hidden="1" customWidth="1"/>
    <col min="18" max="18" width="41.140625" style="16" hidden="1" customWidth="1"/>
    <col min="19" max="19" width="43.7109375" style="16" hidden="1" customWidth="1"/>
    <col min="20" max="20" width="25" style="16" hidden="1" customWidth="1"/>
    <col min="21" max="23" width="0" style="16" hidden="1" customWidth="1"/>
    <col min="24" max="24" width="24.28515625" style="16" hidden="1" customWidth="1"/>
    <col min="25" max="25" width="24.5703125" style="16" hidden="1" customWidth="1"/>
    <col min="26" max="26" width="25.7109375" style="16" hidden="1" customWidth="1"/>
    <col min="27" max="27" width="26.5703125" style="16" hidden="1" customWidth="1"/>
    <col min="28" max="29" width="0" style="16" hidden="1" customWidth="1"/>
    <col min="30" max="31" width="26.140625" style="16" hidden="1" customWidth="1"/>
    <col min="32" max="32" width="21.140625" style="16" hidden="1" customWidth="1"/>
    <col min="33" max="33" width="20.85546875" style="16" hidden="1" customWidth="1"/>
    <col min="34" max="34" width="23.5703125" style="16" hidden="1" customWidth="1"/>
    <col min="35" max="36" width="11" style="16" hidden="1" customWidth="1"/>
    <col min="37" max="37" width="23.5703125" style="16" hidden="1" customWidth="1"/>
    <col min="38" max="38" width="15.85546875" style="16" hidden="1" customWidth="1"/>
    <col min="39" max="39" width="12.7109375" style="16" hidden="1" customWidth="1"/>
    <col min="40" max="40" width="15.5703125" style="16" hidden="1" customWidth="1"/>
    <col min="41" max="41" width="21.7109375" style="16" bestFit="1" customWidth="1"/>
    <col min="42" max="16384" width="8.85546875" style="16"/>
  </cols>
  <sheetData>
    <row r="1" spans="2:14" x14ac:dyDescent="0.25">
      <c r="B1" s="12" t="s">
        <v>50</v>
      </c>
      <c r="C1" s="13">
        <v>45715</v>
      </c>
      <c r="D1" s="14" t="s">
        <v>51</v>
      </c>
    </row>
    <row r="2" spans="2:14" x14ac:dyDescent="0.25">
      <c r="D2" s="17" t="s">
        <v>52</v>
      </c>
    </row>
    <row r="3" spans="2:14" x14ac:dyDescent="0.25">
      <c r="D3" s="16"/>
      <c r="E3" s="16"/>
    </row>
    <row r="4" spans="2:14" x14ac:dyDescent="0.25">
      <c r="C4" s="13"/>
    </row>
    <row r="5" spans="2:14" s="21" customFormat="1" ht="21" x14ac:dyDescent="0.25">
      <c r="B5" s="307" t="s">
        <v>138</v>
      </c>
      <c r="C5" s="307"/>
      <c r="D5" s="307"/>
      <c r="E5" s="20" t="s">
        <v>53</v>
      </c>
      <c r="F5" s="308">
        <f>C1</f>
        <v>45715</v>
      </c>
      <c r="G5" s="308"/>
      <c r="H5" s="308"/>
      <c r="I5" s="308"/>
      <c r="J5" s="308"/>
    </row>
    <row r="6" spans="2:14" s="15" customFormat="1" x14ac:dyDescent="0.25">
      <c r="B6" s="309"/>
      <c r="C6" s="309" t="s">
        <v>54</v>
      </c>
      <c r="D6" s="317" t="s">
        <v>55</v>
      </c>
      <c r="E6" s="311" t="s">
        <v>17</v>
      </c>
      <c r="F6" s="312"/>
      <c r="G6" s="311" t="s">
        <v>56</v>
      </c>
      <c r="H6" s="312"/>
      <c r="I6" s="313" t="s">
        <v>57</v>
      </c>
      <c r="J6" s="315" t="s">
        <v>58</v>
      </c>
    </row>
    <row r="7" spans="2:14" s="15" customFormat="1" x14ac:dyDescent="0.25">
      <c r="B7" s="310"/>
      <c r="C7" s="310"/>
      <c r="D7" s="318"/>
      <c r="E7" s="41" t="s">
        <v>19</v>
      </c>
      <c r="F7" s="42" t="s">
        <v>20</v>
      </c>
      <c r="G7" s="41" t="s">
        <v>19</v>
      </c>
      <c r="H7" s="42" t="s">
        <v>20</v>
      </c>
      <c r="I7" s="314"/>
      <c r="J7" s="316"/>
    </row>
    <row r="8" spans="2:14" ht="16.5" thickBot="1" x14ac:dyDescent="0.3">
      <c r="B8" s="22" t="s">
        <v>59</v>
      </c>
      <c r="C8" s="23"/>
      <c r="D8" s="24">
        <f>SUM(D9:D16)</f>
        <v>2312</v>
      </c>
      <c r="E8" s="25">
        <f>SUM(E9:E16)</f>
        <v>650.5</v>
      </c>
      <c r="F8" s="26">
        <f>SUM(F9:F16)</f>
        <v>595.25</v>
      </c>
      <c r="G8" s="25">
        <f>SUM(G9:G16)</f>
        <v>3</v>
      </c>
      <c r="H8" s="26">
        <f>SUM(H9:H16)</f>
        <v>2</v>
      </c>
      <c r="I8" s="27">
        <f>IF(F8&gt;0,F8/E8,0)</f>
        <v>0.91506533435818604</v>
      </c>
      <c r="J8" s="28">
        <f>IF(F8&gt;0,F8/D8,0)</f>
        <v>0.25746107266435986</v>
      </c>
    </row>
    <row r="9" spans="2:14" ht="16.5" thickTop="1" x14ac:dyDescent="0.25">
      <c r="B9" s="18" t="s">
        <v>2</v>
      </c>
      <c r="C9" s="18" t="s">
        <v>140</v>
      </c>
      <c r="D9" s="10">
        <f>Detailed!D16</f>
        <v>671</v>
      </c>
      <c r="E9" s="29">
        <f>SUMIFS(Detailed!E16:BY16, Detailed!E6:BY6,"&gt;=17-Feb-2025", Detailed!E6:BY6, "&lt;="&amp;'Overall Summary Snapshot'!C1)</f>
        <v>176</v>
      </c>
      <c r="F9" s="31">
        <f>SUM(Detailed!E17:BY17)</f>
        <v>88</v>
      </c>
      <c r="G9" s="33">
        <f>SUMIFS(Detailed!E18:BY18, Detailed!E6:BY6,"&gt;=17-Feb-2025", Detailed!E6:BY6, "&lt;="&amp;'Overall Summary Snapshot'!C1)</f>
        <v>0</v>
      </c>
      <c r="H9" s="35">
        <f>SUMIFS(Detailed!E19:BY19, Detailed!E6:BY6,"&gt;=17-Feb-2025", Detailed!E6:BY6, "&lt;="&amp;'Overall Summary Snapshot'!C1)</f>
        <v>0</v>
      </c>
      <c r="I9" s="37">
        <f t="shared" ref="I9:I16" si="0">IF(F9&gt;0,F9/E9,0)</f>
        <v>0.5</v>
      </c>
      <c r="J9" s="39">
        <f t="shared" ref="J9:J16" si="1">IF(F9&gt;0,F9/D9,0)</f>
        <v>0.13114754098360656</v>
      </c>
      <c r="K9" s="16" t="s">
        <v>60</v>
      </c>
      <c r="N9" s="94"/>
    </row>
    <row r="10" spans="2:14" x14ac:dyDescent="0.25">
      <c r="B10" s="19" t="s">
        <v>3</v>
      </c>
      <c r="C10" s="19" t="s">
        <v>141</v>
      </c>
      <c r="D10" s="11">
        <f>Detailed!D22</f>
        <v>947</v>
      </c>
      <c r="E10" s="30">
        <f>SUMIFS(Detailed!E22:BY22, Detailed!E6:BY6,"&gt;=17-Feb-2025", Detailed!E6:BY6, "&lt;="&amp;'Overall Summary Snapshot'!C1)</f>
        <v>259</v>
      </c>
      <c r="F10" s="32">
        <f>SUM(Detailed!E23:BY23)</f>
        <v>283</v>
      </c>
      <c r="G10" s="34">
        <f>SUMIFS(Detailed!E24:BY24, Detailed!E6:BY6,"&gt;=17-Feb-2025", Detailed!E6:BY6, "&lt;="&amp;'Overall Summary Snapshot'!C1)</f>
        <v>0</v>
      </c>
      <c r="H10" s="36">
        <f>SUMIFS(Detailed!E25:BY25, Detailed!E6:BY6,"&gt;=17-Feb-2025", Detailed!E6:BY6, "&lt;="&amp;'Overall Summary Snapshot'!C1)</f>
        <v>0</v>
      </c>
      <c r="I10" s="38">
        <f t="shared" si="0"/>
        <v>1.0926640926640927</v>
      </c>
      <c r="J10" s="40">
        <f t="shared" si="1"/>
        <v>0.29883843717001057</v>
      </c>
      <c r="K10" s="16" t="s">
        <v>62</v>
      </c>
    </row>
    <row r="11" spans="2:14" x14ac:dyDescent="0.25">
      <c r="B11" s="19" t="s">
        <v>4</v>
      </c>
      <c r="C11" s="19" t="s">
        <v>142</v>
      </c>
      <c r="D11" s="11">
        <f>Detailed!D28</f>
        <v>154</v>
      </c>
      <c r="E11" s="30">
        <f>SUMIFS(Detailed!E28:BY28, Detailed!E6:BY6,"&gt;=17-Feb-2025", Detailed!E6:BY6, "&lt;="&amp;'Overall Summary Snapshot'!C1)</f>
        <v>55</v>
      </c>
      <c r="F11" s="32">
        <f>SUM(Detailed!E29:BY29)</f>
        <v>51</v>
      </c>
      <c r="G11" s="34">
        <f>SUMIFS(Detailed!E30:BY30, Detailed!E6:BY6,"&gt;=17-Feb-2025", Detailed!E6:BY6, "&lt;="&amp;'Overall Summary Snapshot'!C1)</f>
        <v>2</v>
      </c>
      <c r="H11" s="36">
        <f>SUMIFS(Detailed!E31:BY31, Detailed!E6:BY6,"&gt;=17-Feb-2025", Detailed!E6:BY6, "&lt;="&amp;'Overall Summary Snapshot'!C1)</f>
        <v>2</v>
      </c>
      <c r="I11" s="38">
        <f t="shared" si="0"/>
        <v>0.92727272727272725</v>
      </c>
      <c r="J11" s="40">
        <f t="shared" si="1"/>
        <v>0.33116883116883117</v>
      </c>
    </row>
    <row r="12" spans="2:14" x14ac:dyDescent="0.25">
      <c r="B12" s="19" t="s">
        <v>5</v>
      </c>
      <c r="C12" s="19" t="s">
        <v>143</v>
      </c>
      <c r="D12" s="11">
        <f>Detailed!D34</f>
        <v>75</v>
      </c>
      <c r="E12" s="30">
        <f>SUMIFS(Detailed!E34:BY34, Detailed!E6:BY6,"&gt;=17-Feb-2025", Detailed!E6:BY6, "&lt;="&amp;'Overall Summary Snapshot'!C1)</f>
        <v>51</v>
      </c>
      <c r="F12" s="32">
        <f>SUM(Detailed!E35:BY35)</f>
        <v>39</v>
      </c>
      <c r="G12" s="34">
        <f>SUMIFS(Detailed!E36:BY36, Detailed!E6:BY6,"&gt;=17-Feb-2025", Detailed!E6:BY6, "&lt;="&amp;'Overall Summary Snapshot'!C1)</f>
        <v>0</v>
      </c>
      <c r="H12" s="36">
        <f>SUMIFS(Detailed!E37:BY37, Detailed!E6:BY6,"&gt;=17-Feb-2025", Detailed!E6:BY6, "&lt;="&amp;'Overall Summary Snapshot'!C1)</f>
        <v>0</v>
      </c>
      <c r="I12" s="38">
        <f t="shared" si="0"/>
        <v>0.76470588235294112</v>
      </c>
      <c r="J12" s="40">
        <f t="shared" si="1"/>
        <v>0.52</v>
      </c>
    </row>
    <row r="13" spans="2:14" x14ac:dyDescent="0.25">
      <c r="B13" s="19" t="s">
        <v>6</v>
      </c>
      <c r="C13" s="19" t="s">
        <v>144</v>
      </c>
      <c r="D13" s="11">
        <f>Detailed!D40</f>
        <v>392</v>
      </c>
      <c r="E13" s="30">
        <f>SUMIFS(Detailed!E40:BY40, Detailed!E6:BY6,"&gt;=17-Feb-2025", Detailed!E6:BY6, "&lt;="&amp;'Overall Summary Snapshot'!C1)</f>
        <v>79</v>
      </c>
      <c r="F13" s="32">
        <f>SUM(Detailed!E41:BY41)</f>
        <v>107</v>
      </c>
      <c r="G13" s="34">
        <f>SUMIFS(Detailed!E42:BY42, Detailed!E6:BY6,"&gt;=17-Feb-2025", Detailed!E6:BY6, "&lt;="&amp;'Overall Summary Snapshot'!C1)</f>
        <v>0</v>
      </c>
      <c r="H13" s="36">
        <f>SUMIFS(Detailed!E43:BY43, Detailed!E6:BY6,"&gt;=17-Feb-2025", Detailed!E6:BY6, "&lt;="&amp;'Overall Summary Snapshot'!C1)</f>
        <v>0</v>
      </c>
      <c r="I13" s="38">
        <f t="shared" si="0"/>
        <v>1.3544303797468353</v>
      </c>
      <c r="J13" s="40">
        <f t="shared" si="1"/>
        <v>0.27295918367346939</v>
      </c>
    </row>
    <row r="14" spans="2:14" x14ac:dyDescent="0.25">
      <c r="B14" s="19" t="s">
        <v>66</v>
      </c>
      <c r="C14" s="19" t="s">
        <v>61</v>
      </c>
      <c r="D14" s="11">
        <f>Detailed!D46</f>
        <v>34</v>
      </c>
      <c r="E14" s="30">
        <f>SUMIFS(Detailed!E46:BY46, Detailed!E6:BY6,"&gt;=17-Feb-2025", Detailed!E6:BY6, "&lt;="&amp;'Overall Summary Snapshot'!C1)</f>
        <v>14.5</v>
      </c>
      <c r="F14" s="32">
        <f>SUM(Detailed!E47:BY47)</f>
        <v>12.25</v>
      </c>
      <c r="G14" s="34">
        <f>SUMIFS(Detailed!E48:BY48, Detailed!E6:BY6,"&gt;=17-Feb-2025", Detailed!E6:BY6, "&lt;="&amp;'Overall Summary Snapshot'!C1)</f>
        <v>0</v>
      </c>
      <c r="H14" s="36">
        <f>SUMIFS(Detailed!E49:BY49, Detailed!E6:BY6,"&gt;=17-Feb-2025", Detailed!E6:BY6, "&lt;="&amp;'Overall Summary Snapshot'!C1)</f>
        <v>0</v>
      </c>
      <c r="I14" s="38">
        <f t="shared" si="0"/>
        <v>0.84482758620689657</v>
      </c>
      <c r="J14" s="40">
        <f t="shared" si="1"/>
        <v>0.36029411764705882</v>
      </c>
    </row>
    <row r="15" spans="2:14" x14ac:dyDescent="0.25">
      <c r="B15" s="19" t="s">
        <v>68</v>
      </c>
      <c r="C15" s="19" t="s">
        <v>145</v>
      </c>
      <c r="D15" s="11">
        <f>Detailed!D52</f>
        <v>28</v>
      </c>
      <c r="E15" s="30">
        <f>SUMIFS(Detailed!E52:BY52, Detailed!E6:BY6,"&gt;=17-Feb-2025", Detailed!E6:BY6, "&lt;="&amp;'Overall Summary Snapshot'!C1)</f>
        <v>9</v>
      </c>
      <c r="F15" s="32">
        <f>SUM(Detailed!E53:BY53)</f>
        <v>8</v>
      </c>
      <c r="G15" s="34">
        <f>SUMIFS(Detailed!E54:BY54, Detailed!E6:BY6,"&gt;=17-Feb-2025", Detailed!E6:BY6, "&lt;="&amp;'Overall Summary Snapshot'!C1)</f>
        <v>0</v>
      </c>
      <c r="H15" s="36">
        <f>SUMIFS(Detailed!E55:BY55, Detailed!E6:BY6,"&gt;=17-Feb-2025", Detailed!E6:BY6, "&lt;="&amp;'Overall Summary Snapshot'!C1)</f>
        <v>0</v>
      </c>
      <c r="I15" s="38">
        <f t="shared" si="0"/>
        <v>0.88888888888888884</v>
      </c>
      <c r="J15" s="40">
        <f t="shared" si="1"/>
        <v>0.2857142857142857</v>
      </c>
    </row>
    <row r="16" spans="2:14" x14ac:dyDescent="0.25">
      <c r="B16" s="19" t="s">
        <v>9</v>
      </c>
      <c r="C16" s="19" t="s">
        <v>146</v>
      </c>
      <c r="D16" s="11">
        <f>Detailed!D58</f>
        <v>11</v>
      </c>
      <c r="E16" s="30">
        <f>SUMIFS(Detailed!E58:BY58, Detailed!E6:BY6,"&gt;=17-Feb-2025", Detailed!E6:BY6, "&lt;="&amp;'Overall Summary Snapshot'!C1)</f>
        <v>7</v>
      </c>
      <c r="F16" s="32">
        <f>SUM(Detailed!E59:BY59)</f>
        <v>7</v>
      </c>
      <c r="G16" s="34">
        <f>SUMIFS(Detailed!E60:BY60, Detailed!E6:BY6,"&gt;=17-Feb-2025", Detailed!E6:BY6, "&lt;="&amp;'Overall Summary Snapshot'!C1)</f>
        <v>1</v>
      </c>
      <c r="H16" s="36">
        <f>SUMIFS(Detailed!E61:BY61, Detailed!E6:BY6,"&gt;=17-Feb-2025", Detailed!E6:BY6, "&lt;="&amp;'Overall Summary Snapshot'!C1)</f>
        <v>0</v>
      </c>
      <c r="I16" s="38">
        <f t="shared" si="0"/>
        <v>1</v>
      </c>
      <c r="J16" s="40">
        <f t="shared" si="1"/>
        <v>0.63636363636363635</v>
      </c>
    </row>
    <row r="19" spans="2:51" x14ac:dyDescent="0.25">
      <c r="B19" s="302" t="s">
        <v>139</v>
      </c>
      <c r="C19" s="302"/>
      <c r="D19" s="302"/>
      <c r="E19" s="220" t="s">
        <v>53</v>
      </c>
      <c r="F19" s="303">
        <f ca="1">TODAY()</f>
        <v>45996</v>
      </c>
      <c r="G19" s="303"/>
      <c r="H19" s="303"/>
      <c r="I19" s="303"/>
      <c r="J19" s="303"/>
      <c r="K19" s="212" t="str">
        <f>TEXT(WEEKDAY(K20),"DDD")</f>
        <v>Wed</v>
      </c>
      <c r="L19" s="213" t="str">
        <f>TEXT(WEEKDAY(L20),"DDD")</f>
        <v>Thu</v>
      </c>
      <c r="M19" s="214" t="str">
        <f>TEXT(WEEKDAY(M20),"DDD")</f>
        <v>Fri</v>
      </c>
      <c r="N19" s="15" t="str">
        <f t="shared" ref="N19:AG19" si="2">TEXT(WEEKDAY(N20),"DDD")</f>
        <v>Sat</v>
      </c>
      <c r="O19" s="15" t="str">
        <f t="shared" si="2"/>
        <v>Sun</v>
      </c>
      <c r="P19" s="223" t="str">
        <f t="shared" si="2"/>
        <v>Mon</v>
      </c>
      <c r="Q19" s="223" t="str">
        <f t="shared" si="2"/>
        <v>Tue</v>
      </c>
      <c r="R19" s="223" t="str">
        <f t="shared" si="2"/>
        <v>Wed</v>
      </c>
      <c r="S19" s="223" t="str">
        <f t="shared" si="2"/>
        <v>Thu</v>
      </c>
      <c r="T19" s="223" t="str">
        <f t="shared" si="2"/>
        <v>Fri</v>
      </c>
      <c r="U19" s="15" t="str">
        <f t="shared" si="2"/>
        <v>Sat</v>
      </c>
      <c r="V19" s="15" t="str">
        <f t="shared" si="2"/>
        <v>Sun</v>
      </c>
      <c r="W19" s="15" t="str">
        <f t="shared" si="2"/>
        <v>Mon</v>
      </c>
      <c r="X19" s="223" t="str">
        <f t="shared" si="2"/>
        <v>Tue</v>
      </c>
      <c r="Y19" s="223" t="str">
        <f t="shared" si="2"/>
        <v>Wed</v>
      </c>
      <c r="Z19" s="223" t="str">
        <f t="shared" si="2"/>
        <v>Thu</v>
      </c>
      <c r="AA19" s="223" t="str">
        <f t="shared" si="2"/>
        <v>Fri</v>
      </c>
      <c r="AB19" s="15" t="str">
        <f t="shared" si="2"/>
        <v>Sat</v>
      </c>
      <c r="AC19" s="15" t="str">
        <f t="shared" si="2"/>
        <v>Sun</v>
      </c>
      <c r="AD19" s="223" t="str">
        <f t="shared" si="2"/>
        <v>Mon</v>
      </c>
      <c r="AE19" s="223" t="str">
        <f t="shared" si="2"/>
        <v>Tue</v>
      </c>
      <c r="AF19" s="223" t="str">
        <f t="shared" si="2"/>
        <v>Wed</v>
      </c>
      <c r="AG19" s="223" t="str">
        <f t="shared" si="2"/>
        <v>Thu</v>
      </c>
      <c r="AH19" s="223" t="str">
        <f t="shared" ref="AH19:AY19" si="3">TEXT(WEEKDAY(AH20),"DDD")</f>
        <v>Fri</v>
      </c>
      <c r="AI19" s="223" t="str">
        <f t="shared" si="3"/>
        <v>Sat</v>
      </c>
      <c r="AJ19" s="223" t="str">
        <f t="shared" si="3"/>
        <v>Sun</v>
      </c>
      <c r="AK19" s="223" t="str">
        <f t="shared" si="3"/>
        <v>Mon</v>
      </c>
      <c r="AL19" s="223" t="str">
        <f t="shared" si="3"/>
        <v>Tue</v>
      </c>
      <c r="AM19" s="223" t="str">
        <f t="shared" si="3"/>
        <v>Wed</v>
      </c>
      <c r="AN19" s="223" t="str">
        <f t="shared" si="3"/>
        <v>Thu</v>
      </c>
      <c r="AO19" s="223" t="str">
        <f t="shared" si="3"/>
        <v>Fri</v>
      </c>
      <c r="AP19" s="223" t="str">
        <f t="shared" si="3"/>
        <v>Sat</v>
      </c>
      <c r="AQ19" s="223" t="str">
        <f t="shared" si="3"/>
        <v>Sun</v>
      </c>
      <c r="AR19" s="223" t="str">
        <f t="shared" si="3"/>
        <v>Mon</v>
      </c>
      <c r="AS19" s="223" t="str">
        <f t="shared" si="3"/>
        <v>Tue</v>
      </c>
      <c r="AT19" s="223" t="str">
        <f t="shared" si="3"/>
        <v>Wed</v>
      </c>
      <c r="AU19" s="223" t="str">
        <f t="shared" si="3"/>
        <v>Thu</v>
      </c>
      <c r="AV19" s="223" t="str">
        <f t="shared" si="3"/>
        <v>Fri</v>
      </c>
      <c r="AW19" s="223" t="str">
        <f t="shared" si="3"/>
        <v>Sat</v>
      </c>
      <c r="AX19" s="223" t="str">
        <f t="shared" si="3"/>
        <v>Sun</v>
      </c>
      <c r="AY19" s="223" t="str">
        <f t="shared" si="3"/>
        <v>Mon</v>
      </c>
    </row>
    <row r="20" spans="2:51" x14ac:dyDescent="0.25">
      <c r="B20" s="304"/>
      <c r="C20" s="304" t="s">
        <v>54</v>
      </c>
      <c r="D20" s="211" t="s">
        <v>55</v>
      </c>
      <c r="E20" s="304" t="s">
        <v>17</v>
      </c>
      <c r="F20" s="304"/>
      <c r="G20" s="304" t="s">
        <v>56</v>
      </c>
      <c r="H20" s="304"/>
      <c r="I20" s="305" t="s">
        <v>71</v>
      </c>
      <c r="J20" s="305" t="s">
        <v>58</v>
      </c>
      <c r="K20" s="196">
        <v>45714</v>
      </c>
      <c r="L20" s="215">
        <f>K20+1</f>
        <v>45715</v>
      </c>
      <c r="M20" s="221">
        <f t="shared" ref="M20:AG20" si="4">L20+1</f>
        <v>45716</v>
      </c>
      <c r="N20" s="184">
        <f t="shared" si="4"/>
        <v>45717</v>
      </c>
      <c r="O20" s="184">
        <f t="shared" si="4"/>
        <v>45718</v>
      </c>
      <c r="P20" s="221">
        <f>O20+1</f>
        <v>45719</v>
      </c>
      <c r="Q20" s="217">
        <f t="shared" si="4"/>
        <v>45720</v>
      </c>
      <c r="R20" s="217">
        <f t="shared" si="4"/>
        <v>45721</v>
      </c>
      <c r="S20" s="217">
        <f t="shared" si="4"/>
        <v>45722</v>
      </c>
      <c r="T20" s="217">
        <f t="shared" si="4"/>
        <v>45723</v>
      </c>
      <c r="U20" s="184">
        <f t="shared" si="4"/>
        <v>45724</v>
      </c>
      <c r="V20" s="184">
        <f t="shared" si="4"/>
        <v>45725</v>
      </c>
      <c r="W20" s="184">
        <f>V20+1</f>
        <v>45726</v>
      </c>
      <c r="X20" s="217">
        <f t="shared" si="4"/>
        <v>45727</v>
      </c>
      <c r="Y20" s="217">
        <f t="shared" si="4"/>
        <v>45728</v>
      </c>
      <c r="Z20" s="217">
        <f t="shared" si="4"/>
        <v>45729</v>
      </c>
      <c r="AA20" s="217">
        <f t="shared" si="4"/>
        <v>45730</v>
      </c>
      <c r="AB20" s="184">
        <f t="shared" si="4"/>
        <v>45731</v>
      </c>
      <c r="AC20" s="184">
        <f t="shared" si="4"/>
        <v>45732</v>
      </c>
      <c r="AD20" s="217">
        <f>AC20+1</f>
        <v>45733</v>
      </c>
      <c r="AE20" s="217">
        <f t="shared" si="4"/>
        <v>45734</v>
      </c>
      <c r="AF20" s="217">
        <f t="shared" si="4"/>
        <v>45735</v>
      </c>
      <c r="AG20" s="217">
        <f t="shared" si="4"/>
        <v>45736</v>
      </c>
      <c r="AH20" s="217">
        <f t="shared" ref="AH20:AY20" si="5">AG20+1</f>
        <v>45737</v>
      </c>
      <c r="AI20" s="217">
        <f t="shared" si="5"/>
        <v>45738</v>
      </c>
      <c r="AJ20" s="217">
        <f t="shared" si="5"/>
        <v>45739</v>
      </c>
      <c r="AK20" s="217">
        <f t="shared" si="5"/>
        <v>45740</v>
      </c>
      <c r="AL20" s="217">
        <f t="shared" si="5"/>
        <v>45741</v>
      </c>
      <c r="AM20" s="217">
        <f t="shared" si="5"/>
        <v>45742</v>
      </c>
      <c r="AN20" s="217">
        <f t="shared" si="5"/>
        <v>45743</v>
      </c>
      <c r="AO20" s="217">
        <f t="shared" si="5"/>
        <v>45744</v>
      </c>
      <c r="AP20" s="217">
        <f t="shared" si="5"/>
        <v>45745</v>
      </c>
      <c r="AQ20" s="217">
        <f t="shared" si="5"/>
        <v>45746</v>
      </c>
      <c r="AR20" s="217">
        <f t="shared" si="5"/>
        <v>45747</v>
      </c>
      <c r="AS20" s="217">
        <f t="shared" si="5"/>
        <v>45748</v>
      </c>
      <c r="AT20" s="217">
        <f t="shared" si="5"/>
        <v>45749</v>
      </c>
      <c r="AU20" s="217">
        <f t="shared" si="5"/>
        <v>45750</v>
      </c>
      <c r="AV20" s="217">
        <f t="shared" si="5"/>
        <v>45751</v>
      </c>
      <c r="AW20" s="217">
        <f t="shared" si="5"/>
        <v>45752</v>
      </c>
      <c r="AX20" s="217">
        <f t="shared" si="5"/>
        <v>45753</v>
      </c>
      <c r="AY20" s="217">
        <f t="shared" si="5"/>
        <v>45754</v>
      </c>
    </row>
    <row r="21" spans="2:51" x14ac:dyDescent="0.25">
      <c r="B21" s="304"/>
      <c r="C21" s="304"/>
      <c r="D21" s="211"/>
      <c r="E21" s="186" t="s">
        <v>19</v>
      </c>
      <c r="F21" s="186" t="s">
        <v>20</v>
      </c>
      <c r="G21" s="186" t="s">
        <v>19</v>
      </c>
      <c r="H21" s="186" t="s">
        <v>20</v>
      </c>
      <c r="I21" s="304"/>
      <c r="J21" s="305"/>
      <c r="K21" s="197" t="s">
        <v>72</v>
      </c>
      <c r="L21" s="216" t="s">
        <v>72</v>
      </c>
      <c r="M21" s="217" t="s">
        <v>72</v>
      </c>
      <c r="N21" s="183" t="s">
        <v>72</v>
      </c>
      <c r="O21" s="183" t="s">
        <v>72</v>
      </c>
      <c r="P21" s="222" t="s">
        <v>72</v>
      </c>
      <c r="Q21" s="222" t="s">
        <v>72</v>
      </c>
      <c r="R21" s="222" t="s">
        <v>72</v>
      </c>
      <c r="S21" s="222" t="s">
        <v>72</v>
      </c>
      <c r="T21" s="222" t="s">
        <v>72</v>
      </c>
      <c r="U21" s="183" t="s">
        <v>72</v>
      </c>
      <c r="V21" s="183" t="s">
        <v>72</v>
      </c>
      <c r="W21" s="183" t="s">
        <v>72</v>
      </c>
      <c r="X21" s="222" t="s">
        <v>72</v>
      </c>
      <c r="Y21" s="222" t="s">
        <v>72</v>
      </c>
      <c r="Z21" s="222" t="s">
        <v>72</v>
      </c>
      <c r="AA21" s="222" t="s">
        <v>72</v>
      </c>
      <c r="AB21" s="183" t="s">
        <v>72</v>
      </c>
      <c r="AC21" s="183" t="s">
        <v>72</v>
      </c>
      <c r="AD21" s="222" t="s">
        <v>72</v>
      </c>
      <c r="AE21" s="222" t="s">
        <v>72</v>
      </c>
      <c r="AF21" s="222" t="s">
        <v>72</v>
      </c>
      <c r="AG21" s="222" t="s">
        <v>72</v>
      </c>
      <c r="AH21" s="222" t="s">
        <v>72</v>
      </c>
      <c r="AI21" s="222" t="s">
        <v>72</v>
      </c>
      <c r="AJ21" s="222" t="s">
        <v>72</v>
      </c>
      <c r="AK21" s="222" t="s">
        <v>72</v>
      </c>
      <c r="AL21" s="222" t="s">
        <v>72</v>
      </c>
      <c r="AM21" s="222" t="s">
        <v>72</v>
      </c>
      <c r="AN21" s="222" t="s">
        <v>72</v>
      </c>
      <c r="AO21" s="222" t="s">
        <v>72</v>
      </c>
    </row>
    <row r="22" spans="2:51" x14ac:dyDescent="0.25">
      <c r="B22" s="187" t="s">
        <v>59</v>
      </c>
      <c r="C22" s="188"/>
      <c r="D22" s="188">
        <f>SUM(D23:D31)</f>
        <v>2945</v>
      </c>
      <c r="E22" s="188">
        <f ca="1">SUM(E23:E31)</f>
        <v>2945</v>
      </c>
      <c r="F22" s="188">
        <f ca="1">SUM(F23:F31)</f>
        <v>2945</v>
      </c>
      <c r="G22" s="188">
        <f ca="1">SUM(G23:G30)</f>
        <v>98</v>
      </c>
      <c r="H22" s="188">
        <f ca="1">SUM(H23:H30)</f>
        <v>98</v>
      </c>
      <c r="I22" s="189">
        <f ca="1">IF(F22&gt;0,F22/E22,0)</f>
        <v>1</v>
      </c>
      <c r="J22" s="189">
        <f ca="1">IF(F22&gt;0,F22/D22,0)</f>
        <v>1</v>
      </c>
      <c r="K22" s="185"/>
      <c r="M22" s="188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</row>
    <row r="23" spans="2:51" x14ac:dyDescent="0.25">
      <c r="B23" s="190" t="s">
        <v>2</v>
      </c>
      <c r="C23" s="18" t="s">
        <v>140</v>
      </c>
      <c r="D23" s="191">
        <f>'Detailed New'!I8</f>
        <v>660</v>
      </c>
      <c r="E23" s="192">
        <f ca="1">'Detailed New'!I6</f>
        <v>660</v>
      </c>
      <c r="F23" s="192">
        <f ca="1">'Detailed New'!J6</f>
        <v>660</v>
      </c>
      <c r="G23" s="193">
        <f ca="1">'Detailed New'!K6</f>
        <v>36</v>
      </c>
      <c r="H23" s="193">
        <f ca="1">'Detailed New'!L6</f>
        <v>34</v>
      </c>
      <c r="I23" s="194">
        <f t="shared" ref="I23:I31" ca="1" si="6">IF(F23&gt;0,F23/E23,0)</f>
        <v>1</v>
      </c>
      <c r="J23" s="195">
        <f t="shared" ref="J23:J31" ca="1" si="7">IF(F23&gt;0,F23/D23,0)</f>
        <v>1</v>
      </c>
      <c r="K23" s="190" t="s">
        <v>73</v>
      </c>
      <c r="M23" s="218" t="s">
        <v>74</v>
      </c>
      <c r="P23" s="218" t="s">
        <v>74</v>
      </c>
      <c r="Q23" s="219" t="s">
        <v>75</v>
      </c>
      <c r="R23" s="219" t="s">
        <v>75</v>
      </c>
      <c r="S23" s="219" t="s">
        <v>75</v>
      </c>
      <c r="T23" s="219" t="s">
        <v>75</v>
      </c>
      <c r="U23" s="219" t="s">
        <v>75</v>
      </c>
      <c r="V23" s="219" t="s">
        <v>75</v>
      </c>
      <c r="W23" s="219" t="s">
        <v>75</v>
      </c>
      <c r="X23" s="219" t="s">
        <v>75</v>
      </c>
      <c r="Y23" s="219" t="s">
        <v>75</v>
      </c>
      <c r="Z23" s="219" t="s">
        <v>75</v>
      </c>
      <c r="AA23" s="219" t="s">
        <v>75</v>
      </c>
      <c r="AB23" s="219" t="s">
        <v>75</v>
      </c>
      <c r="AC23" s="219" t="s">
        <v>75</v>
      </c>
      <c r="AD23" s="219" t="s">
        <v>75</v>
      </c>
      <c r="AE23" s="219" t="s">
        <v>75</v>
      </c>
      <c r="AF23" s="219" t="s">
        <v>75</v>
      </c>
      <c r="AG23" s="219" t="s">
        <v>75</v>
      </c>
      <c r="AH23" s="219" t="s">
        <v>75</v>
      </c>
      <c r="AK23" s="219" t="s">
        <v>75</v>
      </c>
      <c r="AL23" s="219" t="s">
        <v>75</v>
      </c>
      <c r="AM23" s="268" t="s">
        <v>76</v>
      </c>
      <c r="AN23" s="268" t="s">
        <v>76</v>
      </c>
      <c r="AO23" s="268" t="s">
        <v>76</v>
      </c>
    </row>
    <row r="24" spans="2:51" x14ac:dyDescent="0.25">
      <c r="B24" s="190" t="s">
        <v>3</v>
      </c>
      <c r="C24" s="19" t="s">
        <v>141</v>
      </c>
      <c r="D24" s="191">
        <f>'Detailed New'!N8</f>
        <v>1296</v>
      </c>
      <c r="E24" s="192">
        <f ca="1">'Detailed New'!N6</f>
        <v>1296</v>
      </c>
      <c r="F24" s="192">
        <f ca="1">'Detailed New'!O6</f>
        <v>1295</v>
      </c>
      <c r="G24" s="193">
        <f ca="1">'Detailed New'!P6</f>
        <v>18</v>
      </c>
      <c r="H24" s="193">
        <f ca="1">'Detailed New'!Q6</f>
        <v>18</v>
      </c>
      <c r="I24" s="194">
        <f t="shared" ca="1" si="6"/>
        <v>0.99922839506172845</v>
      </c>
      <c r="J24" s="195">
        <f t="shared" ca="1" si="7"/>
        <v>0.99922839506172845</v>
      </c>
      <c r="K24" s="185" t="s">
        <v>62</v>
      </c>
      <c r="M24" s="219" t="s">
        <v>75</v>
      </c>
      <c r="P24" s="219" t="s">
        <v>75</v>
      </c>
      <c r="Q24" s="219" t="s">
        <v>75</v>
      </c>
      <c r="R24" s="219" t="s">
        <v>75</v>
      </c>
      <c r="S24" s="219" t="s">
        <v>75</v>
      </c>
      <c r="T24" s="219" t="s">
        <v>75</v>
      </c>
      <c r="U24" s="219" t="s">
        <v>75</v>
      </c>
      <c r="V24" s="219" t="s">
        <v>75</v>
      </c>
      <c r="W24" s="219" t="s">
        <v>75</v>
      </c>
      <c r="X24" s="219" t="s">
        <v>75</v>
      </c>
      <c r="Y24" s="219" t="s">
        <v>75</v>
      </c>
      <c r="Z24" s="219" t="s">
        <v>75</v>
      </c>
      <c r="AA24" s="219" t="s">
        <v>75</v>
      </c>
      <c r="AB24" s="219" t="s">
        <v>75</v>
      </c>
      <c r="AC24" s="219" t="s">
        <v>75</v>
      </c>
      <c r="AD24" s="219" t="s">
        <v>75</v>
      </c>
      <c r="AE24" s="219" t="s">
        <v>75</v>
      </c>
      <c r="AF24" s="219" t="s">
        <v>75</v>
      </c>
      <c r="AG24" s="219" t="s">
        <v>75</v>
      </c>
      <c r="AH24" s="219" t="s">
        <v>75</v>
      </c>
      <c r="AK24" s="219" t="s">
        <v>75</v>
      </c>
      <c r="AL24" s="219" t="s">
        <v>75</v>
      </c>
      <c r="AM24" s="219" t="s">
        <v>75</v>
      </c>
      <c r="AN24" s="268" t="s">
        <v>76</v>
      </c>
      <c r="AO24" s="268" t="s">
        <v>76</v>
      </c>
    </row>
    <row r="25" spans="2:51" x14ac:dyDescent="0.25">
      <c r="B25" s="190" t="s">
        <v>4</v>
      </c>
      <c r="C25" s="19" t="s">
        <v>142</v>
      </c>
      <c r="D25" s="191">
        <f>'Detailed New'!S8</f>
        <v>131</v>
      </c>
      <c r="E25" s="192">
        <f ca="1">'Detailed New'!S6</f>
        <v>131</v>
      </c>
      <c r="F25" s="192">
        <f ca="1">'Detailed New'!T6</f>
        <v>131</v>
      </c>
      <c r="G25" s="193">
        <f ca="1">'Detailed New'!U6</f>
        <v>6</v>
      </c>
      <c r="H25" s="193">
        <f ca="1">'Detailed New'!V6</f>
        <v>6</v>
      </c>
      <c r="I25" s="194">
        <f t="shared" ca="1" si="6"/>
        <v>1</v>
      </c>
      <c r="J25" s="195">
        <f t="shared" ca="1" si="7"/>
        <v>1</v>
      </c>
      <c r="K25" s="185" t="s">
        <v>77</v>
      </c>
      <c r="M25" s="219" t="s">
        <v>75</v>
      </c>
      <c r="P25" s="219" t="s">
        <v>75</v>
      </c>
      <c r="Q25" s="219" t="s">
        <v>75</v>
      </c>
      <c r="R25" s="219" t="s">
        <v>75</v>
      </c>
      <c r="S25" s="219" t="s">
        <v>75</v>
      </c>
      <c r="T25" s="219" t="s">
        <v>75</v>
      </c>
      <c r="U25" s="219" t="s">
        <v>75</v>
      </c>
      <c r="V25" s="219" t="s">
        <v>75</v>
      </c>
      <c r="W25" s="219" t="s">
        <v>75</v>
      </c>
      <c r="X25" s="219" t="s">
        <v>75</v>
      </c>
      <c r="Y25" s="219" t="s">
        <v>75</v>
      </c>
      <c r="Z25" s="219" t="s">
        <v>75</v>
      </c>
      <c r="AA25" s="219" t="s">
        <v>75</v>
      </c>
      <c r="AB25" s="219" t="s">
        <v>75</v>
      </c>
      <c r="AC25" s="219" t="s">
        <v>75</v>
      </c>
      <c r="AD25" s="219" t="s">
        <v>75</v>
      </c>
      <c r="AE25" s="219" t="s">
        <v>75</v>
      </c>
      <c r="AF25" s="219" t="s">
        <v>75</v>
      </c>
      <c r="AG25" s="219" t="s">
        <v>75</v>
      </c>
      <c r="AH25" s="219" t="s">
        <v>75</v>
      </c>
      <c r="AK25" s="219" t="s">
        <v>75</v>
      </c>
      <c r="AL25" s="219" t="s">
        <v>75</v>
      </c>
      <c r="AM25" s="219" t="s">
        <v>75</v>
      </c>
      <c r="AN25" s="268" t="s">
        <v>76</v>
      </c>
      <c r="AO25" s="268" t="s">
        <v>76</v>
      </c>
    </row>
    <row r="26" spans="2:51" x14ac:dyDescent="0.25">
      <c r="B26" s="190" t="s">
        <v>5</v>
      </c>
      <c r="C26" s="19" t="s">
        <v>143</v>
      </c>
      <c r="D26" s="191">
        <f>'Detailed New'!X8</f>
        <v>348</v>
      </c>
      <c r="E26" s="192">
        <f ca="1">'Detailed New'!X6</f>
        <v>348</v>
      </c>
      <c r="F26" s="192">
        <f ca="1">'Detailed New'!Y6</f>
        <v>348</v>
      </c>
      <c r="G26" s="193">
        <f ca="1">'Detailed New'!Z6</f>
        <v>12</v>
      </c>
      <c r="H26" s="193">
        <f ca="1">'Detailed New'!AA6</f>
        <v>13</v>
      </c>
      <c r="I26" s="194">
        <f t="shared" ca="1" si="6"/>
        <v>1</v>
      </c>
      <c r="J26" s="195">
        <f t="shared" ca="1" si="7"/>
        <v>1</v>
      </c>
      <c r="K26" s="185"/>
      <c r="M26" s="219" t="s">
        <v>75</v>
      </c>
      <c r="P26" s="219" t="s">
        <v>75</v>
      </c>
      <c r="Q26" s="219" t="s">
        <v>75</v>
      </c>
      <c r="R26" s="219" t="s">
        <v>75</v>
      </c>
      <c r="S26" s="219" t="s">
        <v>75</v>
      </c>
      <c r="T26" s="219" t="s">
        <v>75</v>
      </c>
      <c r="U26" s="219" t="s">
        <v>75</v>
      </c>
      <c r="V26" s="219" t="s">
        <v>75</v>
      </c>
      <c r="W26" s="219" t="s">
        <v>75</v>
      </c>
      <c r="X26" s="219" t="s">
        <v>75</v>
      </c>
      <c r="Y26" s="219" t="s">
        <v>75</v>
      </c>
      <c r="Z26" s="219" t="s">
        <v>75</v>
      </c>
      <c r="AA26" s="219" t="s">
        <v>75</v>
      </c>
      <c r="AB26" s="219" t="s">
        <v>75</v>
      </c>
      <c r="AC26" s="219" t="s">
        <v>75</v>
      </c>
      <c r="AD26" s="219" t="s">
        <v>75</v>
      </c>
      <c r="AE26" s="219" t="s">
        <v>75</v>
      </c>
      <c r="AF26" s="219" t="s">
        <v>75</v>
      </c>
      <c r="AG26" s="219" t="s">
        <v>75</v>
      </c>
      <c r="AH26" s="219" t="s">
        <v>75</v>
      </c>
      <c r="AK26" s="219" t="s">
        <v>75</v>
      </c>
      <c r="AL26" s="219" t="s">
        <v>75</v>
      </c>
      <c r="AM26" s="268" t="s">
        <v>76</v>
      </c>
      <c r="AN26" s="268" t="s">
        <v>76</v>
      </c>
      <c r="AO26" s="268" t="s">
        <v>76</v>
      </c>
    </row>
    <row r="27" spans="2:51" x14ac:dyDescent="0.25">
      <c r="B27" s="190" t="s">
        <v>6</v>
      </c>
      <c r="C27" s="19" t="s">
        <v>144</v>
      </c>
      <c r="D27" s="191">
        <f>'Detailed New'!AC8</f>
        <v>348</v>
      </c>
      <c r="E27" s="192">
        <f ca="1">'Detailed New'!AC6</f>
        <v>348</v>
      </c>
      <c r="F27" s="192">
        <f ca="1">'Detailed New'!AD6</f>
        <v>348</v>
      </c>
      <c r="G27" s="193">
        <f ca="1">'Detailed New'!AE6</f>
        <v>8</v>
      </c>
      <c r="H27" s="193">
        <f ca="1">'Detailed New'!AF6</f>
        <v>8</v>
      </c>
      <c r="I27" s="194">
        <f t="shared" ca="1" si="6"/>
        <v>1</v>
      </c>
      <c r="J27" s="195">
        <f t="shared" ca="1" si="7"/>
        <v>1</v>
      </c>
      <c r="K27" s="185"/>
      <c r="M27" s="219" t="s">
        <v>75</v>
      </c>
      <c r="P27" s="219" t="s">
        <v>75</v>
      </c>
      <c r="Q27" s="219" t="s">
        <v>75</v>
      </c>
      <c r="R27" s="219" t="s">
        <v>75</v>
      </c>
      <c r="S27" s="219" t="s">
        <v>75</v>
      </c>
      <c r="T27" s="219" t="s">
        <v>75</v>
      </c>
      <c r="U27" s="219" t="s">
        <v>75</v>
      </c>
      <c r="V27" s="219" t="s">
        <v>75</v>
      </c>
      <c r="W27" s="219" t="s">
        <v>75</v>
      </c>
      <c r="X27" s="219" t="s">
        <v>75</v>
      </c>
      <c r="Y27" s="219" t="s">
        <v>75</v>
      </c>
      <c r="Z27" s="219" t="s">
        <v>75</v>
      </c>
      <c r="AA27" s="219" t="s">
        <v>75</v>
      </c>
      <c r="AB27" s="219" t="s">
        <v>75</v>
      </c>
      <c r="AC27" s="219" t="s">
        <v>75</v>
      </c>
      <c r="AD27" s="219" t="s">
        <v>75</v>
      </c>
      <c r="AE27" s="219" t="s">
        <v>75</v>
      </c>
      <c r="AF27" s="219" t="s">
        <v>75</v>
      </c>
      <c r="AG27" s="219" t="s">
        <v>75</v>
      </c>
      <c r="AH27" s="219" t="s">
        <v>75</v>
      </c>
      <c r="AK27" s="219" t="s">
        <v>75</v>
      </c>
      <c r="AL27" s="219" t="s">
        <v>75</v>
      </c>
      <c r="AM27" s="219" t="s">
        <v>75</v>
      </c>
      <c r="AN27" s="268" t="s">
        <v>76</v>
      </c>
      <c r="AO27" s="268" t="s">
        <v>76</v>
      </c>
    </row>
    <row r="28" spans="2:51" x14ac:dyDescent="0.25">
      <c r="B28" s="190" t="s">
        <v>66</v>
      </c>
      <c r="C28" s="19" t="s">
        <v>61</v>
      </c>
      <c r="D28" s="191">
        <f>'Detailed New'!AH8</f>
        <v>35</v>
      </c>
      <c r="E28" s="192">
        <f ca="1">'Detailed New'!AH6</f>
        <v>35</v>
      </c>
      <c r="F28" s="192">
        <f ca="1">'Detailed New'!AI6</f>
        <v>35</v>
      </c>
      <c r="G28" s="193">
        <f ca="1">'Detailed New'!AJ6</f>
        <v>11</v>
      </c>
      <c r="H28" s="193">
        <f ca="1">'Detailed New'!AK6</f>
        <v>13</v>
      </c>
      <c r="I28" s="194">
        <f t="shared" ca="1" si="6"/>
        <v>1</v>
      </c>
      <c r="J28" s="195">
        <f t="shared" ca="1" si="7"/>
        <v>1</v>
      </c>
      <c r="K28" s="185"/>
      <c r="M28" s="219" t="s">
        <v>75</v>
      </c>
      <c r="P28" s="219" t="s">
        <v>75</v>
      </c>
      <c r="Q28" s="219" t="s">
        <v>75</v>
      </c>
      <c r="R28" s="219" t="s">
        <v>75</v>
      </c>
      <c r="S28" s="219" t="s">
        <v>75</v>
      </c>
      <c r="T28" s="219" t="s">
        <v>75</v>
      </c>
      <c r="U28" s="219" t="s">
        <v>75</v>
      </c>
      <c r="V28" s="219" t="s">
        <v>75</v>
      </c>
      <c r="W28" s="219" t="s">
        <v>75</v>
      </c>
      <c r="X28" s="219" t="s">
        <v>75</v>
      </c>
      <c r="Y28" s="219" t="s">
        <v>75</v>
      </c>
      <c r="Z28" s="219" t="s">
        <v>75</v>
      </c>
      <c r="AA28" s="219" t="s">
        <v>75</v>
      </c>
      <c r="AB28" s="219" t="s">
        <v>75</v>
      </c>
      <c r="AC28" s="219" t="s">
        <v>75</v>
      </c>
      <c r="AD28" s="219" t="s">
        <v>75</v>
      </c>
      <c r="AE28" s="219" t="s">
        <v>75</v>
      </c>
      <c r="AF28" s="219" t="s">
        <v>75</v>
      </c>
      <c r="AG28" s="219" t="s">
        <v>75</v>
      </c>
      <c r="AH28" s="219" t="s">
        <v>75</v>
      </c>
      <c r="AK28" s="219" t="s">
        <v>75</v>
      </c>
      <c r="AL28" s="219" t="s">
        <v>75</v>
      </c>
      <c r="AM28" s="268" t="s">
        <v>76</v>
      </c>
      <c r="AN28" s="268" t="s">
        <v>76</v>
      </c>
      <c r="AO28" s="268" t="s">
        <v>76</v>
      </c>
    </row>
    <row r="29" spans="2:51" x14ac:dyDescent="0.25">
      <c r="B29" s="190" t="s">
        <v>68</v>
      </c>
      <c r="C29" s="19" t="s">
        <v>145</v>
      </c>
      <c r="D29" s="191">
        <f>'Detailed New'!AM8</f>
        <v>28</v>
      </c>
      <c r="E29" s="192">
        <f ca="1">'Detailed New'!AM6</f>
        <v>28</v>
      </c>
      <c r="F29" s="192">
        <f ca="1">'Detailed New'!AN6</f>
        <v>28</v>
      </c>
      <c r="G29" s="193">
        <f ca="1">'Detailed New'!AO6</f>
        <v>2</v>
      </c>
      <c r="H29" s="193">
        <f ca="1">'Detailed New'!AP6</f>
        <v>2</v>
      </c>
      <c r="I29" s="194">
        <f t="shared" ca="1" si="6"/>
        <v>1</v>
      </c>
      <c r="J29" s="195">
        <f t="shared" ca="1" si="7"/>
        <v>1</v>
      </c>
      <c r="K29" s="185"/>
      <c r="M29" s="219" t="s">
        <v>75</v>
      </c>
      <c r="P29" s="219" t="s">
        <v>75</v>
      </c>
      <c r="Q29" s="219" t="s">
        <v>75</v>
      </c>
      <c r="R29" s="219" t="s">
        <v>75</v>
      </c>
      <c r="S29" s="219" t="s">
        <v>75</v>
      </c>
      <c r="T29" s="219" t="s">
        <v>75</v>
      </c>
      <c r="U29" s="219" t="s">
        <v>75</v>
      </c>
      <c r="V29" s="219" t="s">
        <v>75</v>
      </c>
      <c r="W29" s="219" t="s">
        <v>75</v>
      </c>
      <c r="X29" s="219" t="s">
        <v>75</v>
      </c>
      <c r="Y29" s="219" t="s">
        <v>75</v>
      </c>
      <c r="Z29" s="219" t="s">
        <v>75</v>
      </c>
      <c r="AA29" s="219" t="s">
        <v>75</v>
      </c>
      <c r="AB29" s="219" t="s">
        <v>75</v>
      </c>
      <c r="AC29" s="219" t="s">
        <v>75</v>
      </c>
      <c r="AD29" s="219" t="s">
        <v>75</v>
      </c>
      <c r="AE29" s="219" t="s">
        <v>75</v>
      </c>
      <c r="AF29" s="219" t="s">
        <v>75</v>
      </c>
      <c r="AG29" s="219" t="s">
        <v>75</v>
      </c>
      <c r="AH29" s="219" t="s">
        <v>75</v>
      </c>
      <c r="AK29" s="219" t="s">
        <v>75</v>
      </c>
      <c r="AL29" s="219" t="s">
        <v>75</v>
      </c>
      <c r="AM29" s="268" t="s">
        <v>76</v>
      </c>
      <c r="AN29" s="268" t="s">
        <v>76</v>
      </c>
      <c r="AO29" s="268" t="s">
        <v>76</v>
      </c>
    </row>
    <row r="30" spans="2:51" x14ac:dyDescent="0.25">
      <c r="B30" s="190" t="s">
        <v>9</v>
      </c>
      <c r="C30" s="19" t="s">
        <v>146</v>
      </c>
      <c r="D30" s="191">
        <f>'Detailed New'!AR8</f>
        <v>11</v>
      </c>
      <c r="E30" s="192">
        <f ca="1">'Detailed New'!AR6</f>
        <v>11</v>
      </c>
      <c r="F30" s="192">
        <f ca="1">'Detailed New'!AS6</f>
        <v>12</v>
      </c>
      <c r="G30" s="193">
        <f ca="1">'Detailed New'!AT6</f>
        <v>5</v>
      </c>
      <c r="H30" s="193">
        <f ca="1">'Detailed New'!AU6</f>
        <v>4</v>
      </c>
      <c r="I30" s="194">
        <f t="shared" ca="1" si="6"/>
        <v>1.0909090909090908</v>
      </c>
      <c r="J30" s="195">
        <f t="shared" ca="1" si="7"/>
        <v>1.0909090909090908</v>
      </c>
      <c r="K30" s="185"/>
      <c r="M30" s="219" t="s">
        <v>78</v>
      </c>
      <c r="P30" s="219" t="s">
        <v>75</v>
      </c>
      <c r="Q30" s="219" t="s">
        <v>75</v>
      </c>
      <c r="R30" s="219" t="s">
        <v>75</v>
      </c>
      <c r="S30" s="219" t="s">
        <v>75</v>
      </c>
      <c r="T30" s="219" t="s">
        <v>75</v>
      </c>
      <c r="U30" s="219" t="s">
        <v>75</v>
      </c>
      <c r="V30" s="219" t="s">
        <v>75</v>
      </c>
      <c r="W30" s="219" t="s">
        <v>75</v>
      </c>
      <c r="X30" s="219" t="s">
        <v>75</v>
      </c>
      <c r="Y30" s="219" t="s">
        <v>75</v>
      </c>
      <c r="Z30" s="219" t="s">
        <v>75</v>
      </c>
      <c r="AA30" s="219" t="s">
        <v>75</v>
      </c>
      <c r="AB30" s="219" t="s">
        <v>75</v>
      </c>
      <c r="AC30" s="219" t="s">
        <v>75</v>
      </c>
      <c r="AD30" s="219" t="s">
        <v>75</v>
      </c>
      <c r="AE30" s="219" t="s">
        <v>75</v>
      </c>
      <c r="AF30" s="219" t="s">
        <v>75</v>
      </c>
      <c r="AG30" s="219" t="s">
        <v>75</v>
      </c>
      <c r="AH30" s="219" t="s">
        <v>75</v>
      </c>
      <c r="AK30" s="219" t="s">
        <v>75</v>
      </c>
      <c r="AL30" s="219" t="s">
        <v>75</v>
      </c>
      <c r="AM30" s="268" t="s">
        <v>76</v>
      </c>
      <c r="AN30" s="268" t="s">
        <v>76</v>
      </c>
      <c r="AO30" s="268" t="s">
        <v>76</v>
      </c>
    </row>
    <row r="31" spans="2:51" ht="18.75" customHeight="1" x14ac:dyDescent="0.25">
      <c r="B31" s="190" t="s">
        <v>10</v>
      </c>
      <c r="C31" s="190" t="s">
        <v>147</v>
      </c>
      <c r="D31" s="191">
        <f>'Detailed New'!AW8</f>
        <v>88</v>
      </c>
      <c r="E31" s="192">
        <f ca="1">'Detailed New'!AW6</f>
        <v>88</v>
      </c>
      <c r="F31" s="192">
        <f ca="1">'Detailed New'!AX6</f>
        <v>88</v>
      </c>
      <c r="G31" s="193">
        <f ca="1">'Detailed New'!AY6</f>
        <v>2</v>
      </c>
      <c r="H31" s="193">
        <f ca="1">'Detailed New'!AZ6</f>
        <v>2</v>
      </c>
      <c r="I31" s="194">
        <f t="shared" ca="1" si="6"/>
        <v>1</v>
      </c>
      <c r="J31" s="195">
        <f t="shared" ca="1" si="7"/>
        <v>1</v>
      </c>
      <c r="K31" s="185"/>
      <c r="M31" s="218" t="s">
        <v>80</v>
      </c>
      <c r="P31" s="218" t="s">
        <v>80</v>
      </c>
      <c r="Q31" s="244" t="s">
        <v>81</v>
      </c>
      <c r="R31" s="244" t="s">
        <v>81</v>
      </c>
      <c r="S31" s="219" t="s">
        <v>75</v>
      </c>
      <c r="T31" s="219" t="s">
        <v>75</v>
      </c>
      <c r="U31" s="219" t="s">
        <v>75</v>
      </c>
      <c r="V31" s="219" t="s">
        <v>75</v>
      </c>
      <c r="W31" s="219" t="s">
        <v>75</v>
      </c>
      <c r="X31" s="219" t="s">
        <v>75</v>
      </c>
      <c r="Y31" s="219" t="s">
        <v>75</v>
      </c>
      <c r="Z31" s="219" t="s">
        <v>75</v>
      </c>
      <c r="AA31" s="219" t="s">
        <v>75</v>
      </c>
      <c r="AB31" s="219" t="s">
        <v>75</v>
      </c>
      <c r="AC31" s="219" t="s">
        <v>75</v>
      </c>
      <c r="AD31" s="219" t="s">
        <v>75</v>
      </c>
      <c r="AE31" s="219" t="s">
        <v>75</v>
      </c>
      <c r="AF31" s="219" t="s">
        <v>75</v>
      </c>
      <c r="AG31" s="219" t="s">
        <v>75</v>
      </c>
      <c r="AH31" s="219" t="s">
        <v>75</v>
      </c>
      <c r="AK31" s="219" t="s">
        <v>75</v>
      </c>
      <c r="AL31" s="219" t="s">
        <v>75</v>
      </c>
      <c r="AM31" s="268" t="s">
        <v>76</v>
      </c>
      <c r="AN31" s="268" t="s">
        <v>76</v>
      </c>
      <c r="AO31" s="268" t="s">
        <v>76</v>
      </c>
    </row>
    <row r="34" spans="2:11" ht="15.6" customHeight="1" x14ac:dyDescent="0.25">
      <c r="B34" s="306"/>
      <c r="C34" s="301" t="s">
        <v>54</v>
      </c>
      <c r="D34" s="301" t="s">
        <v>55</v>
      </c>
      <c r="E34" s="301" t="s">
        <v>17</v>
      </c>
      <c r="F34" s="301"/>
      <c r="G34" s="301" t="s">
        <v>56</v>
      </c>
      <c r="H34" s="301"/>
      <c r="I34" s="301" t="s">
        <v>82</v>
      </c>
      <c r="J34" s="301" t="s">
        <v>58</v>
      </c>
      <c r="K34" s="207">
        <v>45714</v>
      </c>
    </row>
    <row r="35" spans="2:11" x14ac:dyDescent="0.25">
      <c r="B35" s="306"/>
      <c r="C35" s="301"/>
      <c r="D35" s="301"/>
      <c r="E35" s="208" t="s">
        <v>19</v>
      </c>
      <c r="F35" s="208" t="s">
        <v>20</v>
      </c>
      <c r="G35" s="208" t="s">
        <v>19</v>
      </c>
      <c r="H35" s="208" t="s">
        <v>20</v>
      </c>
      <c r="I35" s="301"/>
      <c r="J35" s="301"/>
      <c r="K35" s="209" t="s">
        <v>72</v>
      </c>
    </row>
    <row r="36" spans="2:11" x14ac:dyDescent="0.25">
      <c r="B36" s="198" t="s">
        <v>59</v>
      </c>
      <c r="C36" s="199"/>
      <c r="D36" s="199">
        <v>2340</v>
      </c>
      <c r="E36" s="199">
        <v>539.25</v>
      </c>
      <c r="F36" s="199">
        <v>512.25</v>
      </c>
      <c r="G36" s="199">
        <v>3</v>
      </c>
      <c r="H36" s="199">
        <v>2</v>
      </c>
      <c r="I36" s="200">
        <v>0.94993045897079276</v>
      </c>
      <c r="J36" s="200">
        <v>0.21891025641025641</v>
      </c>
      <c r="K36" s="201"/>
    </row>
    <row r="37" spans="2:11" x14ac:dyDescent="0.25">
      <c r="B37" s="201"/>
      <c r="C37" s="201"/>
      <c r="D37" s="202"/>
      <c r="E37" s="203"/>
      <c r="F37" s="203"/>
      <c r="G37" s="204"/>
      <c r="H37" s="204"/>
      <c r="I37" s="205"/>
      <c r="J37" s="206"/>
      <c r="K37" s="201"/>
    </row>
    <row r="38" spans="2:11" x14ac:dyDescent="0.25">
      <c r="B38" s="201"/>
      <c r="C38" s="201"/>
      <c r="D38" s="202"/>
      <c r="E38" s="203"/>
      <c r="F38" s="203"/>
      <c r="G38" s="204"/>
      <c r="H38" s="204"/>
      <c r="I38" s="205"/>
      <c r="J38" s="206"/>
      <c r="K38" s="201"/>
    </row>
    <row r="39" spans="2:11" x14ac:dyDescent="0.25">
      <c r="B39" s="201"/>
      <c r="C39" s="201"/>
      <c r="D39" s="202"/>
      <c r="E39" s="203"/>
      <c r="F39" s="203"/>
      <c r="G39" s="204"/>
      <c r="H39" s="204"/>
      <c r="I39" s="205"/>
      <c r="J39" s="206"/>
      <c r="K39" s="201"/>
    </row>
    <row r="40" spans="2:11" x14ac:dyDescent="0.25">
      <c r="B40" s="201"/>
      <c r="C40" s="201"/>
      <c r="D40" s="202"/>
      <c r="E40" s="203"/>
      <c r="F40" s="203"/>
      <c r="G40" s="204"/>
      <c r="H40" s="204"/>
      <c r="I40" s="205"/>
      <c r="J40" s="206"/>
      <c r="K40" s="201"/>
    </row>
    <row r="41" spans="2:11" x14ac:dyDescent="0.25">
      <c r="B41" s="201"/>
      <c r="C41" s="201"/>
      <c r="D41" s="202"/>
      <c r="E41" s="203"/>
      <c r="F41" s="203"/>
      <c r="G41" s="204"/>
      <c r="H41" s="204"/>
      <c r="I41" s="205"/>
      <c r="J41" s="206"/>
      <c r="K41" s="201"/>
    </row>
    <row r="42" spans="2:11" x14ac:dyDescent="0.25">
      <c r="B42" s="201"/>
      <c r="C42" s="201"/>
      <c r="D42" s="202"/>
      <c r="E42" s="203"/>
      <c r="F42" s="203"/>
      <c r="G42" s="204"/>
      <c r="H42" s="204"/>
      <c r="I42" s="205"/>
      <c r="J42" s="206"/>
      <c r="K42" s="201"/>
    </row>
    <row r="43" spans="2:11" x14ac:dyDescent="0.25">
      <c r="B43" s="201"/>
      <c r="C43" s="201"/>
      <c r="D43" s="202"/>
      <c r="E43" s="203"/>
      <c r="F43" s="203"/>
      <c r="G43" s="204"/>
      <c r="H43" s="204"/>
      <c r="I43" s="205"/>
      <c r="J43" s="206"/>
      <c r="K43" s="201"/>
    </row>
    <row r="44" spans="2:11" x14ac:dyDescent="0.25">
      <c r="B44" s="201"/>
      <c r="C44" s="201"/>
      <c r="D44" s="202"/>
      <c r="E44" s="203"/>
      <c r="F44" s="203"/>
      <c r="G44" s="204"/>
      <c r="H44" s="204"/>
      <c r="I44" s="205"/>
      <c r="J44" s="206"/>
      <c r="K44" s="201"/>
    </row>
    <row r="45" spans="2:11" x14ac:dyDescent="0.25">
      <c r="B45" s="201"/>
      <c r="C45" s="201"/>
      <c r="D45" s="202"/>
      <c r="E45" s="203"/>
      <c r="F45" s="203"/>
      <c r="G45" s="204"/>
      <c r="H45" s="204"/>
      <c r="I45" s="210"/>
      <c r="J45" s="206"/>
      <c r="K45" s="201"/>
    </row>
  </sheetData>
  <mergeCells count="24">
    <mergeCell ref="B5:D5"/>
    <mergeCell ref="F5:J5"/>
    <mergeCell ref="B6:B7"/>
    <mergeCell ref="E6:F6"/>
    <mergeCell ref="G6:H6"/>
    <mergeCell ref="I6:I7"/>
    <mergeCell ref="J6:J7"/>
    <mergeCell ref="C6:C7"/>
    <mergeCell ref="D6:D7"/>
    <mergeCell ref="I34:I35"/>
    <mergeCell ref="J34:J35"/>
    <mergeCell ref="B19:D19"/>
    <mergeCell ref="F19:J19"/>
    <mergeCell ref="B20:B21"/>
    <mergeCell ref="C20:C21"/>
    <mergeCell ref="E20:F20"/>
    <mergeCell ref="G20:H20"/>
    <mergeCell ref="I20:I21"/>
    <mergeCell ref="J20:J21"/>
    <mergeCell ref="B34:B35"/>
    <mergeCell ref="C34:C35"/>
    <mergeCell ref="D34:D35"/>
    <mergeCell ref="E34:F34"/>
    <mergeCell ref="G34:H34"/>
  </mergeCells>
  <conditionalFormatting sqref="E6 G6 I6:XFD6 E7:H7 K7:XFD7">
    <cfRule type="cellIs" dxfId="87" priority="4" operator="equal">
      <formula>"S"</formula>
    </cfRule>
  </conditionalFormatting>
  <conditionalFormatting sqref="E20 G20 I20:J20 D20:D21 E21:H21">
    <cfRule type="cellIs" dxfId="86" priority="3" operator="equal">
      <formula>"S"</formula>
    </cfRule>
  </conditionalFormatting>
  <conditionalFormatting sqref="E34 G34 I34:J34 E35:H35">
    <cfRule type="cellIs" dxfId="85" priority="1" operator="equal">
      <formula>"S"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8757-7684-4BBA-B83B-FF5C37234D35}">
  <dimension ref="A4:BY70"/>
  <sheetViews>
    <sheetView workbookViewId="0">
      <pane xSplit="4" ySplit="14" topLeftCell="E32" activePane="bottomRight" state="frozen"/>
      <selection pane="topRight" activeCell="E1" sqref="E1"/>
      <selection pane="bottomLeft" activeCell="A13" sqref="A13"/>
      <selection pane="bottomRight" activeCell="N1" sqref="N1:N1048576"/>
    </sheetView>
  </sheetViews>
  <sheetFormatPr defaultColWidth="8.7109375" defaultRowHeight="11.25" x14ac:dyDescent="0.2"/>
  <cols>
    <col min="1" max="1" width="10.85546875" style="1" customWidth="1"/>
    <col min="2" max="2" width="6.28515625" style="1" bestFit="1" customWidth="1"/>
    <col min="3" max="3" width="13.85546875" style="1" customWidth="1"/>
    <col min="4" max="4" width="15" style="2" customWidth="1"/>
    <col min="5" max="5" width="7.5703125" style="2" bestFit="1" customWidth="1"/>
    <col min="6" max="6" width="7.5703125" style="125" bestFit="1" customWidth="1"/>
    <col min="7" max="7" width="7.5703125" style="2" bestFit="1" customWidth="1"/>
    <col min="8" max="8" width="11.28515625" style="2" customWidth="1"/>
    <col min="9" max="9" width="13.7109375" style="142" customWidth="1"/>
    <col min="10" max="12" width="7.5703125" style="2" bestFit="1" customWidth="1"/>
    <col min="13" max="13" width="10" style="2" customWidth="1"/>
    <col min="14" max="14" width="14.42578125" style="2" customWidth="1"/>
    <col min="15" max="15" width="17" style="2" customWidth="1"/>
    <col min="16" max="47" width="7.5703125" style="2" bestFit="1" customWidth="1"/>
    <col min="48" max="56" width="7.42578125" style="2" bestFit="1" customWidth="1"/>
    <col min="57" max="65" width="6.42578125" style="2" bestFit="1" customWidth="1"/>
    <col min="66" max="77" width="7.42578125" style="2" bestFit="1" customWidth="1"/>
    <col min="78" max="16384" width="8.7109375" style="1"/>
  </cols>
  <sheetData>
    <row r="4" spans="1:77" ht="21" x14ac:dyDescent="0.2">
      <c r="A4" s="319" t="s">
        <v>83</v>
      </c>
      <c r="B4" s="319"/>
      <c r="C4" s="319"/>
      <c r="D4" s="319"/>
      <c r="E4" s="72"/>
      <c r="K4" s="73"/>
      <c r="L4" s="72"/>
      <c r="R4" s="73"/>
      <c r="S4" s="72"/>
      <c r="Y4" s="73"/>
      <c r="Z4" s="72"/>
      <c r="AF4" s="73"/>
      <c r="AG4" s="72"/>
      <c r="AM4" s="73"/>
      <c r="AN4" s="72"/>
      <c r="AT4" s="73"/>
      <c r="AU4" s="72"/>
      <c r="BA4" s="73"/>
      <c r="BB4" s="72"/>
      <c r="BH4" s="73"/>
      <c r="BI4" s="72"/>
      <c r="BO4" s="73"/>
      <c r="BP4" s="72"/>
      <c r="BV4" s="73"/>
      <c r="BW4" s="72"/>
    </row>
    <row r="5" spans="1:77" s="4" customFormat="1" x14ac:dyDescent="0.2">
      <c r="D5" s="8" t="s">
        <v>84</v>
      </c>
      <c r="E5" s="112" t="s">
        <v>25</v>
      </c>
      <c r="F5" s="126" t="s">
        <v>26</v>
      </c>
      <c r="G5" s="123" t="s">
        <v>27</v>
      </c>
      <c r="H5" s="139" t="s">
        <v>26</v>
      </c>
      <c r="I5" s="143" t="s">
        <v>26</v>
      </c>
      <c r="J5" s="70" t="s">
        <v>85</v>
      </c>
      <c r="K5" s="74" t="s">
        <v>85</v>
      </c>
      <c r="L5" s="88" t="s">
        <v>25</v>
      </c>
      <c r="M5" s="9" t="s">
        <v>26</v>
      </c>
      <c r="N5" s="9" t="s">
        <v>27</v>
      </c>
      <c r="O5" s="9" t="s">
        <v>26</v>
      </c>
      <c r="P5" s="9" t="s">
        <v>32</v>
      </c>
      <c r="Q5" s="9" t="s">
        <v>85</v>
      </c>
      <c r="R5" s="74" t="s">
        <v>85</v>
      </c>
      <c r="S5" s="88" t="s">
        <v>25</v>
      </c>
      <c r="T5" s="9" t="s">
        <v>26</v>
      </c>
      <c r="U5" s="9" t="s">
        <v>27</v>
      </c>
      <c r="V5" s="9" t="s">
        <v>26</v>
      </c>
      <c r="W5" s="9" t="s">
        <v>32</v>
      </c>
      <c r="X5" s="9" t="s">
        <v>85</v>
      </c>
      <c r="Y5" s="74" t="s">
        <v>85</v>
      </c>
      <c r="Z5" s="88" t="s">
        <v>25</v>
      </c>
      <c r="AA5" s="9" t="s">
        <v>26</v>
      </c>
      <c r="AB5" s="9" t="s">
        <v>27</v>
      </c>
      <c r="AC5" s="9" t="s">
        <v>26</v>
      </c>
      <c r="AD5" s="9" t="s">
        <v>32</v>
      </c>
      <c r="AE5" s="9" t="s">
        <v>85</v>
      </c>
      <c r="AF5" s="74" t="s">
        <v>85</v>
      </c>
      <c r="AG5" s="88" t="s">
        <v>25</v>
      </c>
      <c r="AH5" s="9" t="s">
        <v>26</v>
      </c>
      <c r="AI5" s="9" t="s">
        <v>27</v>
      </c>
      <c r="AJ5" s="9" t="s">
        <v>26</v>
      </c>
      <c r="AK5" s="9" t="s">
        <v>32</v>
      </c>
      <c r="AL5" s="9" t="s">
        <v>85</v>
      </c>
      <c r="AM5" s="74" t="s">
        <v>85</v>
      </c>
      <c r="AN5" s="88" t="s">
        <v>25</v>
      </c>
      <c r="AO5" s="9" t="s">
        <v>26</v>
      </c>
      <c r="AP5" s="9" t="s">
        <v>27</v>
      </c>
      <c r="AQ5" s="9" t="s">
        <v>26</v>
      </c>
      <c r="AR5" s="9" t="s">
        <v>32</v>
      </c>
      <c r="AS5" s="9" t="s">
        <v>85</v>
      </c>
      <c r="AT5" s="74" t="s">
        <v>85</v>
      </c>
      <c r="AU5" s="88" t="s">
        <v>25</v>
      </c>
      <c r="AV5" s="9" t="s">
        <v>26</v>
      </c>
      <c r="AW5" s="9" t="s">
        <v>27</v>
      </c>
      <c r="AX5" s="9" t="s">
        <v>26</v>
      </c>
      <c r="AY5" s="9" t="s">
        <v>32</v>
      </c>
      <c r="AZ5" s="9" t="s">
        <v>85</v>
      </c>
      <c r="BA5" s="74" t="s">
        <v>85</v>
      </c>
      <c r="BB5" s="88" t="s">
        <v>25</v>
      </c>
      <c r="BC5" s="9" t="s">
        <v>26</v>
      </c>
      <c r="BD5" s="9" t="s">
        <v>27</v>
      </c>
      <c r="BE5" s="9" t="s">
        <v>26</v>
      </c>
      <c r="BF5" s="9" t="s">
        <v>32</v>
      </c>
      <c r="BG5" s="9" t="s">
        <v>85</v>
      </c>
      <c r="BH5" s="74" t="s">
        <v>85</v>
      </c>
      <c r="BI5" s="88" t="s">
        <v>25</v>
      </c>
      <c r="BJ5" s="9" t="s">
        <v>26</v>
      </c>
      <c r="BK5" s="9" t="s">
        <v>27</v>
      </c>
      <c r="BL5" s="9" t="s">
        <v>26</v>
      </c>
      <c r="BM5" s="9" t="s">
        <v>32</v>
      </c>
      <c r="BN5" s="9" t="s">
        <v>85</v>
      </c>
      <c r="BO5" s="74" t="s">
        <v>85</v>
      </c>
      <c r="BP5" s="88" t="s">
        <v>25</v>
      </c>
      <c r="BQ5" s="9" t="s">
        <v>26</v>
      </c>
      <c r="BR5" s="9" t="s">
        <v>27</v>
      </c>
      <c r="BS5" s="9" t="s">
        <v>26</v>
      </c>
      <c r="BT5" s="9" t="s">
        <v>32</v>
      </c>
      <c r="BU5" s="9" t="s">
        <v>85</v>
      </c>
      <c r="BV5" s="74" t="s">
        <v>85</v>
      </c>
      <c r="BW5" s="70" t="s">
        <v>25</v>
      </c>
      <c r="BX5" s="9" t="s">
        <v>26</v>
      </c>
      <c r="BY5" s="9" t="s">
        <v>27</v>
      </c>
    </row>
    <row r="6" spans="1:77" ht="12" thickBot="1" x14ac:dyDescent="0.25">
      <c r="A6" s="48" t="s">
        <v>86</v>
      </c>
      <c r="B6" s="49" t="s">
        <v>87</v>
      </c>
      <c r="C6" s="49" t="s">
        <v>17</v>
      </c>
      <c r="D6" s="64" t="s">
        <v>88</v>
      </c>
      <c r="E6" s="113">
        <v>45705</v>
      </c>
      <c r="F6" s="127">
        <f t="shared" ref="F6:AK6" si="0">E6+1</f>
        <v>45706</v>
      </c>
      <c r="G6" s="71">
        <f t="shared" si="0"/>
        <v>45707</v>
      </c>
      <c r="H6" s="140">
        <f t="shared" si="0"/>
        <v>45708</v>
      </c>
      <c r="I6" s="144">
        <f t="shared" si="0"/>
        <v>45709</v>
      </c>
      <c r="J6" s="71">
        <f t="shared" ref="J6" si="1">I6+1</f>
        <v>45710</v>
      </c>
      <c r="K6" s="59">
        <f t="shared" ref="K6" si="2">J6+1</f>
        <v>45711</v>
      </c>
      <c r="L6" s="75">
        <f t="shared" si="0"/>
        <v>45712</v>
      </c>
      <c r="M6" s="59">
        <f t="shared" si="0"/>
        <v>45713</v>
      </c>
      <c r="N6" s="59">
        <f t="shared" si="0"/>
        <v>45714</v>
      </c>
      <c r="O6" s="59">
        <f t="shared" si="0"/>
        <v>45715</v>
      </c>
      <c r="P6" s="59">
        <f t="shared" si="0"/>
        <v>45716</v>
      </c>
      <c r="Q6" s="59">
        <f t="shared" si="0"/>
        <v>45717</v>
      </c>
      <c r="R6" s="76">
        <f t="shared" si="0"/>
        <v>45718</v>
      </c>
      <c r="S6" s="75">
        <f t="shared" si="0"/>
        <v>45719</v>
      </c>
      <c r="T6" s="59">
        <f t="shared" si="0"/>
        <v>45720</v>
      </c>
      <c r="U6" s="59">
        <f t="shared" si="0"/>
        <v>45721</v>
      </c>
      <c r="V6" s="59">
        <f t="shared" si="0"/>
        <v>45722</v>
      </c>
      <c r="W6" s="59">
        <f t="shared" si="0"/>
        <v>45723</v>
      </c>
      <c r="X6" s="59">
        <f t="shared" si="0"/>
        <v>45724</v>
      </c>
      <c r="Y6" s="76">
        <f t="shared" si="0"/>
        <v>45725</v>
      </c>
      <c r="Z6" s="75">
        <f t="shared" si="0"/>
        <v>45726</v>
      </c>
      <c r="AA6" s="59">
        <f t="shared" si="0"/>
        <v>45727</v>
      </c>
      <c r="AB6" s="59">
        <f t="shared" si="0"/>
        <v>45728</v>
      </c>
      <c r="AC6" s="59">
        <f t="shared" si="0"/>
        <v>45729</v>
      </c>
      <c r="AD6" s="59">
        <f t="shared" si="0"/>
        <v>45730</v>
      </c>
      <c r="AE6" s="59">
        <f t="shared" si="0"/>
        <v>45731</v>
      </c>
      <c r="AF6" s="76">
        <f t="shared" si="0"/>
        <v>45732</v>
      </c>
      <c r="AG6" s="75">
        <f t="shared" si="0"/>
        <v>45733</v>
      </c>
      <c r="AH6" s="59">
        <f t="shared" si="0"/>
        <v>45734</v>
      </c>
      <c r="AI6" s="59">
        <f t="shared" si="0"/>
        <v>45735</v>
      </c>
      <c r="AJ6" s="59">
        <f t="shared" si="0"/>
        <v>45736</v>
      </c>
      <c r="AK6" s="59">
        <f t="shared" si="0"/>
        <v>45737</v>
      </c>
      <c r="AL6" s="59">
        <f t="shared" ref="AL6:BQ6" si="3">AK6+1</f>
        <v>45738</v>
      </c>
      <c r="AM6" s="76">
        <f t="shared" si="3"/>
        <v>45739</v>
      </c>
      <c r="AN6" s="75">
        <f t="shared" si="3"/>
        <v>45740</v>
      </c>
      <c r="AO6" s="59">
        <f t="shared" si="3"/>
        <v>45741</v>
      </c>
      <c r="AP6" s="59">
        <f t="shared" si="3"/>
        <v>45742</v>
      </c>
      <c r="AQ6" s="59">
        <f t="shared" si="3"/>
        <v>45743</v>
      </c>
      <c r="AR6" s="59">
        <f t="shared" si="3"/>
        <v>45744</v>
      </c>
      <c r="AS6" s="59">
        <f t="shared" si="3"/>
        <v>45745</v>
      </c>
      <c r="AT6" s="76">
        <f t="shared" si="3"/>
        <v>45746</v>
      </c>
      <c r="AU6" s="75">
        <f t="shared" si="3"/>
        <v>45747</v>
      </c>
      <c r="AV6" s="59">
        <f t="shared" si="3"/>
        <v>45748</v>
      </c>
      <c r="AW6" s="59">
        <f t="shared" si="3"/>
        <v>45749</v>
      </c>
      <c r="AX6" s="59">
        <f t="shared" si="3"/>
        <v>45750</v>
      </c>
      <c r="AY6" s="59">
        <f t="shared" si="3"/>
        <v>45751</v>
      </c>
      <c r="AZ6" s="59">
        <f t="shared" si="3"/>
        <v>45752</v>
      </c>
      <c r="BA6" s="76">
        <f t="shared" si="3"/>
        <v>45753</v>
      </c>
      <c r="BB6" s="75">
        <f t="shared" si="3"/>
        <v>45754</v>
      </c>
      <c r="BC6" s="59">
        <f t="shared" si="3"/>
        <v>45755</v>
      </c>
      <c r="BD6" s="59">
        <f t="shared" si="3"/>
        <v>45756</v>
      </c>
      <c r="BE6" s="59">
        <f t="shared" si="3"/>
        <v>45757</v>
      </c>
      <c r="BF6" s="59">
        <f t="shared" si="3"/>
        <v>45758</v>
      </c>
      <c r="BG6" s="59">
        <f t="shared" si="3"/>
        <v>45759</v>
      </c>
      <c r="BH6" s="76">
        <f t="shared" si="3"/>
        <v>45760</v>
      </c>
      <c r="BI6" s="75">
        <f t="shared" si="3"/>
        <v>45761</v>
      </c>
      <c r="BJ6" s="59">
        <f t="shared" si="3"/>
        <v>45762</v>
      </c>
      <c r="BK6" s="59">
        <f t="shared" si="3"/>
        <v>45763</v>
      </c>
      <c r="BL6" s="59">
        <f t="shared" si="3"/>
        <v>45764</v>
      </c>
      <c r="BM6" s="59">
        <f t="shared" si="3"/>
        <v>45765</v>
      </c>
      <c r="BN6" s="59">
        <f t="shared" si="3"/>
        <v>45766</v>
      </c>
      <c r="BO6" s="76">
        <f t="shared" si="3"/>
        <v>45767</v>
      </c>
      <c r="BP6" s="75">
        <f t="shared" si="3"/>
        <v>45768</v>
      </c>
      <c r="BQ6" s="59">
        <f t="shared" si="3"/>
        <v>45769</v>
      </c>
      <c r="BR6" s="59">
        <f t="shared" ref="BR6:BY6" si="4">BQ6+1</f>
        <v>45770</v>
      </c>
      <c r="BS6" s="59">
        <f t="shared" si="4"/>
        <v>45771</v>
      </c>
      <c r="BT6" s="59">
        <f t="shared" si="4"/>
        <v>45772</v>
      </c>
      <c r="BU6" s="59">
        <f t="shared" si="4"/>
        <v>45773</v>
      </c>
      <c r="BV6" s="76">
        <f t="shared" si="4"/>
        <v>45774</v>
      </c>
      <c r="BW6" s="71">
        <f t="shared" si="4"/>
        <v>45775</v>
      </c>
      <c r="BX6" s="59">
        <f t="shared" si="4"/>
        <v>45776</v>
      </c>
      <c r="BY6" s="59">
        <f t="shared" si="4"/>
        <v>45777</v>
      </c>
    </row>
    <row r="7" spans="1:77" s="2" customFormat="1" ht="12" thickTop="1" x14ac:dyDescent="0.25">
      <c r="A7" s="46"/>
      <c r="B7" s="46"/>
      <c r="C7" s="46"/>
      <c r="D7" s="65"/>
      <c r="E7" s="114"/>
      <c r="F7" s="128"/>
      <c r="G7" s="47"/>
      <c r="H7" s="65"/>
      <c r="I7" s="143" t="s">
        <v>32</v>
      </c>
      <c r="J7" s="47"/>
      <c r="K7" s="78"/>
      <c r="L7" s="77"/>
      <c r="M7" s="46"/>
      <c r="N7" s="46"/>
      <c r="O7" s="46"/>
      <c r="P7" s="46"/>
      <c r="Q7" s="46"/>
      <c r="R7" s="78"/>
      <c r="S7" s="77"/>
      <c r="T7" s="46"/>
      <c r="U7" s="46"/>
      <c r="V7" s="46"/>
      <c r="W7" s="46"/>
      <c r="X7" s="46"/>
      <c r="Y7" s="78"/>
      <c r="Z7" s="77"/>
      <c r="AA7" s="46"/>
      <c r="AB7" s="46"/>
      <c r="AC7" s="46"/>
      <c r="AD7" s="46"/>
      <c r="AE7" s="46"/>
      <c r="AF7" s="78"/>
      <c r="AG7" s="77"/>
      <c r="AH7" s="46"/>
      <c r="AI7" s="46"/>
      <c r="AJ7" s="46"/>
      <c r="AK7" s="46"/>
      <c r="AL7" s="46"/>
      <c r="AM7" s="78"/>
      <c r="AN7" s="77"/>
      <c r="AO7" s="46"/>
      <c r="AP7" s="46"/>
      <c r="AQ7" s="46"/>
      <c r="AR7" s="46"/>
      <c r="AS7" s="46"/>
      <c r="AT7" s="78"/>
      <c r="AU7" s="77"/>
      <c r="AV7" s="46"/>
      <c r="AW7" s="46"/>
      <c r="AX7" s="46"/>
      <c r="AY7" s="46"/>
      <c r="AZ7" s="46"/>
      <c r="BA7" s="78"/>
      <c r="BB7" s="77"/>
      <c r="BC7" s="46"/>
      <c r="BD7" s="46"/>
      <c r="BE7" s="46"/>
      <c r="BF7" s="46"/>
      <c r="BG7" s="46"/>
      <c r="BH7" s="78"/>
      <c r="BI7" s="77"/>
      <c r="BJ7" s="46"/>
      <c r="BK7" s="46"/>
      <c r="BL7" s="46"/>
      <c r="BM7" s="46"/>
      <c r="BN7" s="46"/>
      <c r="BO7" s="78"/>
      <c r="BP7" s="77"/>
      <c r="BQ7" s="46"/>
      <c r="BR7" s="46"/>
      <c r="BS7" s="46"/>
      <c r="BT7" s="46"/>
      <c r="BU7" s="46"/>
      <c r="BV7" s="78"/>
      <c r="BW7" s="47"/>
      <c r="BX7" s="46"/>
      <c r="BY7" s="46"/>
    </row>
    <row r="8" spans="1:77" s="2" customFormat="1" x14ac:dyDescent="0.2">
      <c r="A8" s="51" t="s">
        <v>59</v>
      </c>
      <c r="B8" s="52"/>
      <c r="C8" s="6" t="s">
        <v>18</v>
      </c>
      <c r="D8" s="66">
        <f>D10/D9</f>
        <v>0.25746107266435986</v>
      </c>
      <c r="E8" s="115">
        <f>IF(E9=0,0,E10/E9)</f>
        <v>0.98947368421052628</v>
      </c>
      <c r="F8" s="129">
        <f t="shared" ref="F8:BQ8" si="5">IF(F9=0,0,F10/F9)</f>
        <v>1.0666666666666667</v>
      </c>
      <c r="G8" s="57">
        <f t="shared" si="5"/>
        <v>2.1016949152542375</v>
      </c>
      <c r="H8" s="66">
        <f t="shared" si="5"/>
        <v>1.88</v>
      </c>
      <c r="I8" s="145">
        <f t="shared" si="5"/>
        <v>0.952755905511811</v>
      </c>
      <c r="J8" s="57">
        <f t="shared" si="5"/>
        <v>1</v>
      </c>
      <c r="K8" s="80">
        <f t="shared" si="5"/>
        <v>1</v>
      </c>
      <c r="L8" s="79">
        <f t="shared" si="5"/>
        <v>0.97516930022573367</v>
      </c>
      <c r="M8" s="50">
        <f t="shared" si="5"/>
        <v>0.84905660377358494</v>
      </c>
      <c r="N8" s="50">
        <f t="shared" si="5"/>
        <v>0.62095238095238092</v>
      </c>
      <c r="O8" s="50">
        <f t="shared" si="5"/>
        <v>0.7466666666666667</v>
      </c>
      <c r="P8" s="50">
        <f t="shared" si="5"/>
        <v>0</v>
      </c>
      <c r="Q8" s="50">
        <f t="shared" si="5"/>
        <v>0</v>
      </c>
      <c r="R8" s="80">
        <f t="shared" si="5"/>
        <v>0</v>
      </c>
      <c r="S8" s="79">
        <f t="shared" si="5"/>
        <v>0</v>
      </c>
      <c r="T8" s="50">
        <f t="shared" si="5"/>
        <v>0</v>
      </c>
      <c r="U8" s="50">
        <f t="shared" si="5"/>
        <v>0</v>
      </c>
      <c r="V8" s="50">
        <f t="shared" si="5"/>
        <v>0</v>
      </c>
      <c r="W8" s="50">
        <f t="shared" si="5"/>
        <v>0</v>
      </c>
      <c r="X8" s="50">
        <f t="shared" si="5"/>
        <v>0</v>
      </c>
      <c r="Y8" s="80">
        <f t="shared" si="5"/>
        <v>0</v>
      </c>
      <c r="Z8" s="79">
        <f t="shared" si="5"/>
        <v>0</v>
      </c>
      <c r="AA8" s="50">
        <f t="shared" si="5"/>
        <v>0</v>
      </c>
      <c r="AB8" s="50">
        <f t="shared" si="5"/>
        <v>0</v>
      </c>
      <c r="AC8" s="50">
        <f t="shared" si="5"/>
        <v>0</v>
      </c>
      <c r="AD8" s="50">
        <f t="shared" si="5"/>
        <v>0</v>
      </c>
      <c r="AE8" s="50">
        <f t="shared" si="5"/>
        <v>0</v>
      </c>
      <c r="AF8" s="80">
        <f t="shared" si="5"/>
        <v>0</v>
      </c>
      <c r="AG8" s="79">
        <f t="shared" si="5"/>
        <v>0</v>
      </c>
      <c r="AH8" s="50">
        <f t="shared" si="5"/>
        <v>0</v>
      </c>
      <c r="AI8" s="50">
        <f t="shared" si="5"/>
        <v>0</v>
      </c>
      <c r="AJ8" s="50">
        <f t="shared" si="5"/>
        <v>0</v>
      </c>
      <c r="AK8" s="50">
        <f t="shared" si="5"/>
        <v>0</v>
      </c>
      <c r="AL8" s="50">
        <f t="shared" si="5"/>
        <v>0</v>
      </c>
      <c r="AM8" s="80">
        <f t="shared" si="5"/>
        <v>0</v>
      </c>
      <c r="AN8" s="79">
        <f t="shared" si="5"/>
        <v>0</v>
      </c>
      <c r="AO8" s="50">
        <f t="shared" si="5"/>
        <v>0</v>
      </c>
      <c r="AP8" s="50">
        <f t="shared" si="5"/>
        <v>0</v>
      </c>
      <c r="AQ8" s="50">
        <f t="shared" si="5"/>
        <v>0</v>
      </c>
      <c r="AR8" s="50">
        <f t="shared" si="5"/>
        <v>0</v>
      </c>
      <c r="AS8" s="50">
        <f t="shared" si="5"/>
        <v>0</v>
      </c>
      <c r="AT8" s="80">
        <f t="shared" si="5"/>
        <v>0</v>
      </c>
      <c r="AU8" s="79">
        <f t="shared" si="5"/>
        <v>0</v>
      </c>
      <c r="AV8" s="50">
        <f t="shared" si="5"/>
        <v>0</v>
      </c>
      <c r="AW8" s="50">
        <f t="shared" si="5"/>
        <v>0</v>
      </c>
      <c r="AX8" s="50">
        <f t="shared" si="5"/>
        <v>0</v>
      </c>
      <c r="AY8" s="50">
        <f t="shared" si="5"/>
        <v>0</v>
      </c>
      <c r="AZ8" s="50">
        <f t="shared" si="5"/>
        <v>0</v>
      </c>
      <c r="BA8" s="80">
        <f t="shared" si="5"/>
        <v>0</v>
      </c>
      <c r="BB8" s="79">
        <f t="shared" si="5"/>
        <v>0</v>
      </c>
      <c r="BC8" s="50">
        <f t="shared" si="5"/>
        <v>0</v>
      </c>
      <c r="BD8" s="50">
        <f t="shared" si="5"/>
        <v>0</v>
      </c>
      <c r="BE8" s="50">
        <f t="shared" si="5"/>
        <v>0</v>
      </c>
      <c r="BF8" s="50">
        <f t="shared" si="5"/>
        <v>0</v>
      </c>
      <c r="BG8" s="50">
        <f t="shared" si="5"/>
        <v>0</v>
      </c>
      <c r="BH8" s="80">
        <f t="shared" si="5"/>
        <v>0</v>
      </c>
      <c r="BI8" s="79">
        <f t="shared" si="5"/>
        <v>0</v>
      </c>
      <c r="BJ8" s="50">
        <f t="shared" si="5"/>
        <v>0</v>
      </c>
      <c r="BK8" s="50">
        <f t="shared" si="5"/>
        <v>0</v>
      </c>
      <c r="BL8" s="50">
        <f t="shared" si="5"/>
        <v>0</v>
      </c>
      <c r="BM8" s="50">
        <f t="shared" si="5"/>
        <v>0</v>
      </c>
      <c r="BN8" s="50">
        <f t="shared" si="5"/>
        <v>0</v>
      </c>
      <c r="BO8" s="80">
        <f t="shared" si="5"/>
        <v>0</v>
      </c>
      <c r="BP8" s="79">
        <f t="shared" si="5"/>
        <v>0</v>
      </c>
      <c r="BQ8" s="50">
        <f t="shared" si="5"/>
        <v>0</v>
      </c>
      <c r="BR8" s="50">
        <f t="shared" ref="BR8:BY8" si="6">IF(BR9=0,0,BR10/BR9)</f>
        <v>0</v>
      </c>
      <c r="BS8" s="50">
        <f t="shared" si="6"/>
        <v>0</v>
      </c>
      <c r="BT8" s="50">
        <f t="shared" si="6"/>
        <v>0</v>
      </c>
      <c r="BU8" s="50">
        <f t="shared" si="6"/>
        <v>0</v>
      </c>
      <c r="BV8" s="80">
        <f t="shared" si="6"/>
        <v>0</v>
      </c>
      <c r="BW8" s="57">
        <f t="shared" si="6"/>
        <v>0</v>
      </c>
      <c r="BX8" s="50">
        <f t="shared" si="6"/>
        <v>0</v>
      </c>
      <c r="BY8" s="50">
        <f t="shared" si="6"/>
        <v>0</v>
      </c>
    </row>
    <row r="9" spans="1:77" x14ac:dyDescent="0.2">
      <c r="A9" s="53"/>
      <c r="B9" s="54"/>
      <c r="C9" s="6" t="s">
        <v>19</v>
      </c>
      <c r="D9" s="67">
        <f t="shared" ref="D9:AI9" si="7">SUM(D16,D22,D28,D34,D40,D46,D52,D58)</f>
        <v>2312</v>
      </c>
      <c r="E9" s="116">
        <f t="shared" si="7"/>
        <v>47.5</v>
      </c>
      <c r="F9" s="130">
        <f t="shared" si="7"/>
        <v>22.5</v>
      </c>
      <c r="G9" s="124">
        <f t="shared" si="7"/>
        <v>29.5</v>
      </c>
      <c r="H9" s="141">
        <f t="shared" si="7"/>
        <v>18.75</v>
      </c>
      <c r="I9" s="146">
        <f t="shared" si="7"/>
        <v>31.75</v>
      </c>
      <c r="J9" s="7">
        <f t="shared" si="7"/>
        <v>4</v>
      </c>
      <c r="K9" s="82">
        <f t="shared" si="7"/>
        <v>4</v>
      </c>
      <c r="L9" s="81">
        <f t="shared" si="7"/>
        <v>110.75</v>
      </c>
      <c r="M9" s="58">
        <f t="shared" si="7"/>
        <v>119.25</v>
      </c>
      <c r="N9" s="58">
        <f t="shared" si="7"/>
        <v>131.25</v>
      </c>
      <c r="O9" s="58">
        <f t="shared" si="7"/>
        <v>131.25</v>
      </c>
      <c r="P9" s="58">
        <f t="shared" si="7"/>
        <v>81.75</v>
      </c>
      <c r="Q9" s="5">
        <f t="shared" si="7"/>
        <v>12</v>
      </c>
      <c r="R9" s="82">
        <f t="shared" si="7"/>
        <v>0</v>
      </c>
      <c r="S9" s="81">
        <f t="shared" si="7"/>
        <v>160.5</v>
      </c>
      <c r="T9" s="58">
        <f t="shared" si="7"/>
        <v>131.61000000000001</v>
      </c>
      <c r="U9" s="5">
        <f t="shared" si="7"/>
        <v>87.33</v>
      </c>
      <c r="V9" s="5">
        <f t="shared" si="7"/>
        <v>79.83</v>
      </c>
      <c r="W9" s="5">
        <f t="shared" si="7"/>
        <v>75.75</v>
      </c>
      <c r="X9" s="5">
        <f t="shared" si="7"/>
        <v>0</v>
      </c>
      <c r="Y9" s="82">
        <f t="shared" si="7"/>
        <v>0</v>
      </c>
      <c r="Z9" s="83">
        <f t="shared" si="7"/>
        <v>74.75</v>
      </c>
      <c r="AA9" s="5">
        <f t="shared" si="7"/>
        <v>80.75</v>
      </c>
      <c r="AB9" s="5">
        <f t="shared" si="7"/>
        <v>74.25</v>
      </c>
      <c r="AC9" s="5">
        <f t="shared" si="7"/>
        <v>84.14</v>
      </c>
      <c r="AD9" s="5">
        <f t="shared" si="7"/>
        <v>59.14</v>
      </c>
      <c r="AE9" s="5">
        <f t="shared" si="7"/>
        <v>0</v>
      </c>
      <c r="AF9" s="82">
        <f t="shared" si="7"/>
        <v>0</v>
      </c>
      <c r="AG9" s="83">
        <f t="shared" si="7"/>
        <v>49.14</v>
      </c>
      <c r="AH9" s="5">
        <f t="shared" si="7"/>
        <v>59.14</v>
      </c>
      <c r="AI9" s="5">
        <f t="shared" si="7"/>
        <v>67.14</v>
      </c>
      <c r="AJ9" s="5">
        <f t="shared" ref="AJ9:BO9" si="8">SUM(AJ16,AJ22,AJ28,AJ34,AJ40,AJ46,AJ52,AJ58)</f>
        <v>56.14</v>
      </c>
      <c r="AK9" s="5">
        <f t="shared" si="8"/>
        <v>94.14</v>
      </c>
      <c r="AL9" s="5">
        <f t="shared" si="8"/>
        <v>0</v>
      </c>
      <c r="AM9" s="82">
        <f t="shared" si="8"/>
        <v>0</v>
      </c>
      <c r="AN9" s="83">
        <f t="shared" si="8"/>
        <v>60</v>
      </c>
      <c r="AO9" s="5">
        <f t="shared" si="8"/>
        <v>46.25</v>
      </c>
      <c r="AP9" s="5">
        <f t="shared" si="8"/>
        <v>49.25</v>
      </c>
      <c r="AQ9" s="5">
        <f t="shared" si="8"/>
        <v>71.25</v>
      </c>
      <c r="AR9" s="5">
        <f t="shared" si="8"/>
        <v>49.25</v>
      </c>
      <c r="AS9" s="5">
        <f t="shared" si="8"/>
        <v>0</v>
      </c>
      <c r="AT9" s="82">
        <f t="shared" si="8"/>
        <v>0</v>
      </c>
      <c r="AU9" s="83">
        <f t="shared" si="8"/>
        <v>58</v>
      </c>
      <c r="AV9" s="5">
        <f t="shared" si="8"/>
        <v>0</v>
      </c>
      <c r="AW9" s="5">
        <f t="shared" si="8"/>
        <v>0</v>
      </c>
      <c r="AX9" s="5">
        <f t="shared" si="8"/>
        <v>0</v>
      </c>
      <c r="AY9" s="5">
        <f t="shared" si="8"/>
        <v>0</v>
      </c>
      <c r="AZ9" s="5">
        <f t="shared" si="8"/>
        <v>0</v>
      </c>
      <c r="BA9" s="82">
        <f t="shared" si="8"/>
        <v>0</v>
      </c>
      <c r="BB9" s="83">
        <f t="shared" si="8"/>
        <v>0</v>
      </c>
      <c r="BC9" s="5">
        <f t="shared" si="8"/>
        <v>0</v>
      </c>
      <c r="BD9" s="5">
        <f t="shared" si="8"/>
        <v>0</v>
      </c>
      <c r="BE9" s="5">
        <f t="shared" si="8"/>
        <v>0</v>
      </c>
      <c r="BF9" s="5">
        <f t="shared" si="8"/>
        <v>0</v>
      </c>
      <c r="BG9" s="5">
        <f t="shared" si="8"/>
        <v>0</v>
      </c>
      <c r="BH9" s="82">
        <f t="shared" si="8"/>
        <v>0</v>
      </c>
      <c r="BI9" s="83">
        <f t="shared" si="8"/>
        <v>0</v>
      </c>
      <c r="BJ9" s="5">
        <f t="shared" si="8"/>
        <v>0</v>
      </c>
      <c r="BK9" s="5">
        <f t="shared" si="8"/>
        <v>0</v>
      </c>
      <c r="BL9" s="5">
        <f t="shared" si="8"/>
        <v>0</v>
      </c>
      <c r="BM9" s="5">
        <f t="shared" si="8"/>
        <v>0</v>
      </c>
      <c r="BN9" s="5">
        <f t="shared" si="8"/>
        <v>0</v>
      </c>
      <c r="BO9" s="82">
        <f t="shared" si="8"/>
        <v>0</v>
      </c>
      <c r="BP9" s="83">
        <f t="shared" ref="BP9:BY9" si="9">SUM(BP16,BP22,BP28,BP34,BP40,BP46,BP52,BP58)</f>
        <v>0</v>
      </c>
      <c r="BQ9" s="5">
        <f t="shared" si="9"/>
        <v>0</v>
      </c>
      <c r="BR9" s="5">
        <f t="shared" si="9"/>
        <v>0</v>
      </c>
      <c r="BS9" s="5">
        <f t="shared" si="9"/>
        <v>0</v>
      </c>
      <c r="BT9" s="5">
        <f t="shared" si="9"/>
        <v>0</v>
      </c>
      <c r="BU9" s="5">
        <f t="shared" si="9"/>
        <v>0</v>
      </c>
      <c r="BV9" s="82">
        <f t="shared" si="9"/>
        <v>0</v>
      </c>
      <c r="BW9" s="7">
        <f t="shared" si="9"/>
        <v>0</v>
      </c>
      <c r="BX9" s="5">
        <f t="shared" si="9"/>
        <v>0</v>
      </c>
      <c r="BY9" s="5">
        <f t="shared" si="9"/>
        <v>0</v>
      </c>
    </row>
    <row r="10" spans="1:77" x14ac:dyDescent="0.2">
      <c r="A10" s="53"/>
      <c r="B10" s="54"/>
      <c r="C10" s="6" t="s">
        <v>20</v>
      </c>
      <c r="D10" s="67">
        <f t="shared" ref="D10:AI10" si="10">SUM(D17,D23,D29,D35,D41,D47,D53,D59)</f>
        <v>595.25</v>
      </c>
      <c r="E10" s="117">
        <f t="shared" si="10"/>
        <v>47</v>
      </c>
      <c r="F10" s="131">
        <f t="shared" si="10"/>
        <v>24</v>
      </c>
      <c r="G10" s="7">
        <f t="shared" si="10"/>
        <v>62</v>
      </c>
      <c r="H10" s="67">
        <f t="shared" si="10"/>
        <v>35.25</v>
      </c>
      <c r="I10" s="147">
        <f t="shared" si="10"/>
        <v>30.25</v>
      </c>
      <c r="J10" s="7">
        <f t="shared" si="10"/>
        <v>4</v>
      </c>
      <c r="K10" s="82">
        <f t="shared" si="10"/>
        <v>4</v>
      </c>
      <c r="L10" s="83">
        <f t="shared" si="10"/>
        <v>108</v>
      </c>
      <c r="M10" s="5">
        <f t="shared" si="10"/>
        <v>101.25</v>
      </c>
      <c r="N10" s="5">
        <f t="shared" si="10"/>
        <v>81.5</v>
      </c>
      <c r="O10" s="5">
        <f t="shared" si="10"/>
        <v>98</v>
      </c>
      <c r="P10" s="5">
        <f t="shared" si="10"/>
        <v>0</v>
      </c>
      <c r="Q10" s="5">
        <f t="shared" si="10"/>
        <v>0</v>
      </c>
      <c r="R10" s="82">
        <f t="shared" si="10"/>
        <v>0</v>
      </c>
      <c r="S10" s="83">
        <f t="shared" si="10"/>
        <v>0</v>
      </c>
      <c r="T10" s="5">
        <f t="shared" si="10"/>
        <v>0</v>
      </c>
      <c r="U10" s="5">
        <f t="shared" si="10"/>
        <v>0</v>
      </c>
      <c r="V10" s="5">
        <f t="shared" si="10"/>
        <v>0</v>
      </c>
      <c r="W10" s="5">
        <f t="shared" si="10"/>
        <v>0</v>
      </c>
      <c r="X10" s="5">
        <f t="shared" si="10"/>
        <v>0</v>
      </c>
      <c r="Y10" s="82">
        <f t="shared" si="10"/>
        <v>0</v>
      </c>
      <c r="Z10" s="83">
        <f t="shared" si="10"/>
        <v>0</v>
      </c>
      <c r="AA10" s="5">
        <f t="shared" si="10"/>
        <v>0</v>
      </c>
      <c r="AB10" s="5">
        <f t="shared" si="10"/>
        <v>0</v>
      </c>
      <c r="AC10" s="5">
        <f t="shared" si="10"/>
        <v>0</v>
      </c>
      <c r="AD10" s="5">
        <f t="shared" si="10"/>
        <v>0</v>
      </c>
      <c r="AE10" s="5">
        <f t="shared" si="10"/>
        <v>0</v>
      </c>
      <c r="AF10" s="82">
        <f t="shared" si="10"/>
        <v>0</v>
      </c>
      <c r="AG10" s="83">
        <f t="shared" si="10"/>
        <v>0</v>
      </c>
      <c r="AH10" s="5">
        <f t="shared" si="10"/>
        <v>0</v>
      </c>
      <c r="AI10" s="5">
        <f t="shared" si="10"/>
        <v>0</v>
      </c>
      <c r="AJ10" s="5">
        <f t="shared" ref="AJ10:BO10" si="11">SUM(AJ17,AJ23,AJ29,AJ35,AJ41,AJ47,AJ53,AJ59)</f>
        <v>0</v>
      </c>
      <c r="AK10" s="5">
        <f t="shared" si="11"/>
        <v>0</v>
      </c>
      <c r="AL10" s="5">
        <f t="shared" si="11"/>
        <v>0</v>
      </c>
      <c r="AM10" s="82">
        <f t="shared" si="11"/>
        <v>0</v>
      </c>
      <c r="AN10" s="83">
        <f t="shared" si="11"/>
        <v>0</v>
      </c>
      <c r="AO10" s="5">
        <f t="shared" si="11"/>
        <v>0</v>
      </c>
      <c r="AP10" s="5">
        <f t="shared" si="11"/>
        <v>0</v>
      </c>
      <c r="AQ10" s="5">
        <f t="shared" si="11"/>
        <v>0</v>
      </c>
      <c r="AR10" s="5">
        <f t="shared" si="11"/>
        <v>0</v>
      </c>
      <c r="AS10" s="5">
        <f t="shared" si="11"/>
        <v>0</v>
      </c>
      <c r="AT10" s="82">
        <f t="shared" si="11"/>
        <v>0</v>
      </c>
      <c r="AU10" s="83">
        <f t="shared" si="11"/>
        <v>0</v>
      </c>
      <c r="AV10" s="5">
        <f t="shared" si="11"/>
        <v>0</v>
      </c>
      <c r="AW10" s="5">
        <f t="shared" si="11"/>
        <v>0</v>
      </c>
      <c r="AX10" s="5">
        <f t="shared" si="11"/>
        <v>0</v>
      </c>
      <c r="AY10" s="5">
        <f t="shared" si="11"/>
        <v>0</v>
      </c>
      <c r="AZ10" s="5">
        <f t="shared" si="11"/>
        <v>0</v>
      </c>
      <c r="BA10" s="82">
        <f t="shared" si="11"/>
        <v>0</v>
      </c>
      <c r="BB10" s="83">
        <f t="shared" si="11"/>
        <v>0</v>
      </c>
      <c r="BC10" s="5">
        <f t="shared" si="11"/>
        <v>0</v>
      </c>
      <c r="BD10" s="5">
        <f t="shared" si="11"/>
        <v>0</v>
      </c>
      <c r="BE10" s="5">
        <f t="shared" si="11"/>
        <v>0</v>
      </c>
      <c r="BF10" s="5">
        <f t="shared" si="11"/>
        <v>0</v>
      </c>
      <c r="BG10" s="5">
        <f t="shared" si="11"/>
        <v>0</v>
      </c>
      <c r="BH10" s="82">
        <f t="shared" si="11"/>
        <v>0</v>
      </c>
      <c r="BI10" s="83">
        <f t="shared" si="11"/>
        <v>0</v>
      </c>
      <c r="BJ10" s="5">
        <f t="shared" si="11"/>
        <v>0</v>
      </c>
      <c r="BK10" s="5">
        <f t="shared" si="11"/>
        <v>0</v>
      </c>
      <c r="BL10" s="5">
        <f t="shared" si="11"/>
        <v>0</v>
      </c>
      <c r="BM10" s="5">
        <f t="shared" si="11"/>
        <v>0</v>
      </c>
      <c r="BN10" s="5">
        <f t="shared" si="11"/>
        <v>0</v>
      </c>
      <c r="BO10" s="82">
        <f t="shared" si="11"/>
        <v>0</v>
      </c>
      <c r="BP10" s="83">
        <f t="shared" ref="BP10:BY10" si="12">SUM(BP17,BP23,BP29,BP35,BP41,BP47,BP53,BP59)</f>
        <v>0</v>
      </c>
      <c r="BQ10" s="5">
        <f t="shared" si="12"/>
        <v>0</v>
      </c>
      <c r="BR10" s="5">
        <f t="shared" si="12"/>
        <v>0</v>
      </c>
      <c r="BS10" s="5">
        <f t="shared" si="12"/>
        <v>0</v>
      </c>
      <c r="BT10" s="5">
        <f t="shared" si="12"/>
        <v>0</v>
      </c>
      <c r="BU10" s="5">
        <f t="shared" si="12"/>
        <v>0</v>
      </c>
      <c r="BV10" s="82">
        <f t="shared" si="12"/>
        <v>0</v>
      </c>
      <c r="BW10" s="7">
        <f t="shared" si="12"/>
        <v>0</v>
      </c>
      <c r="BX10" s="5">
        <f t="shared" si="12"/>
        <v>0</v>
      </c>
      <c r="BY10" s="5">
        <f t="shared" si="12"/>
        <v>0</v>
      </c>
    </row>
    <row r="11" spans="1:77" s="2" customFormat="1" x14ac:dyDescent="0.2">
      <c r="A11" s="53"/>
      <c r="B11" s="54"/>
      <c r="C11" s="6" t="s">
        <v>21</v>
      </c>
      <c r="D11" s="67">
        <f t="shared" ref="D11:AI11" si="13">SUM(D18,D24,D30,D36,D42,D48,D54,D60)</f>
        <v>35</v>
      </c>
      <c r="E11" s="117">
        <f t="shared" si="13"/>
        <v>0</v>
      </c>
      <c r="F11" s="131">
        <f t="shared" si="13"/>
        <v>0</v>
      </c>
      <c r="G11" s="7">
        <f t="shared" si="13"/>
        <v>0</v>
      </c>
      <c r="H11" s="67">
        <f t="shared" si="13"/>
        <v>1</v>
      </c>
      <c r="I11" s="147">
        <f t="shared" si="13"/>
        <v>1</v>
      </c>
      <c r="J11" s="7">
        <f t="shared" si="13"/>
        <v>0</v>
      </c>
      <c r="K11" s="82">
        <f t="shared" si="13"/>
        <v>0</v>
      </c>
      <c r="L11" s="83">
        <f t="shared" si="13"/>
        <v>0</v>
      </c>
      <c r="M11" s="5">
        <f t="shared" si="13"/>
        <v>1</v>
      </c>
      <c r="N11" s="5">
        <f t="shared" si="13"/>
        <v>0</v>
      </c>
      <c r="O11" s="5">
        <f t="shared" si="13"/>
        <v>0</v>
      </c>
      <c r="P11" s="5">
        <f t="shared" si="13"/>
        <v>2</v>
      </c>
      <c r="Q11" s="5">
        <f t="shared" si="13"/>
        <v>0</v>
      </c>
      <c r="R11" s="82">
        <f t="shared" si="13"/>
        <v>0</v>
      </c>
      <c r="S11" s="83">
        <f t="shared" si="13"/>
        <v>1</v>
      </c>
      <c r="T11" s="5">
        <f t="shared" si="13"/>
        <v>1</v>
      </c>
      <c r="U11" s="5">
        <f t="shared" si="13"/>
        <v>0</v>
      </c>
      <c r="V11" s="5">
        <f t="shared" si="13"/>
        <v>1</v>
      </c>
      <c r="W11" s="5">
        <f t="shared" si="13"/>
        <v>3</v>
      </c>
      <c r="X11" s="5">
        <f t="shared" si="13"/>
        <v>0</v>
      </c>
      <c r="Y11" s="82">
        <f t="shared" si="13"/>
        <v>0</v>
      </c>
      <c r="Z11" s="83">
        <f t="shared" si="13"/>
        <v>1</v>
      </c>
      <c r="AA11" s="5">
        <f t="shared" si="13"/>
        <v>0</v>
      </c>
      <c r="AB11" s="5">
        <f t="shared" si="13"/>
        <v>0</v>
      </c>
      <c r="AC11" s="5">
        <f t="shared" si="13"/>
        <v>1</v>
      </c>
      <c r="AD11" s="5">
        <f t="shared" si="13"/>
        <v>2</v>
      </c>
      <c r="AE11" s="5">
        <f t="shared" si="13"/>
        <v>0</v>
      </c>
      <c r="AF11" s="82">
        <f t="shared" si="13"/>
        <v>0</v>
      </c>
      <c r="AG11" s="83">
        <f t="shared" si="13"/>
        <v>1</v>
      </c>
      <c r="AH11" s="5">
        <f t="shared" si="13"/>
        <v>0</v>
      </c>
      <c r="AI11" s="5">
        <f t="shared" si="13"/>
        <v>0</v>
      </c>
      <c r="AJ11" s="5">
        <f t="shared" ref="AJ11:BO11" si="14">SUM(AJ18,AJ24,AJ30,AJ36,AJ42,AJ48,AJ54,AJ60)</f>
        <v>0</v>
      </c>
      <c r="AK11" s="5">
        <f t="shared" si="14"/>
        <v>0</v>
      </c>
      <c r="AL11" s="5">
        <f t="shared" si="14"/>
        <v>0</v>
      </c>
      <c r="AM11" s="82">
        <f t="shared" si="14"/>
        <v>0</v>
      </c>
      <c r="AN11" s="83">
        <f t="shared" si="14"/>
        <v>7</v>
      </c>
      <c r="AO11" s="5">
        <f t="shared" si="14"/>
        <v>1</v>
      </c>
      <c r="AP11" s="5">
        <f t="shared" si="14"/>
        <v>2</v>
      </c>
      <c r="AQ11" s="5">
        <f t="shared" si="14"/>
        <v>1</v>
      </c>
      <c r="AR11" s="5">
        <f t="shared" si="14"/>
        <v>2</v>
      </c>
      <c r="AS11" s="5">
        <f t="shared" si="14"/>
        <v>0</v>
      </c>
      <c r="AT11" s="82">
        <f t="shared" si="14"/>
        <v>0</v>
      </c>
      <c r="AU11" s="83">
        <f t="shared" si="14"/>
        <v>2</v>
      </c>
      <c r="AV11" s="5">
        <f t="shared" si="14"/>
        <v>1</v>
      </c>
      <c r="AW11" s="5">
        <f t="shared" si="14"/>
        <v>1</v>
      </c>
      <c r="AX11" s="5">
        <f t="shared" si="14"/>
        <v>1</v>
      </c>
      <c r="AY11" s="5">
        <f t="shared" si="14"/>
        <v>1</v>
      </c>
      <c r="AZ11" s="5">
        <f t="shared" si="14"/>
        <v>0</v>
      </c>
      <c r="BA11" s="82">
        <f t="shared" si="14"/>
        <v>0</v>
      </c>
      <c r="BB11" s="83">
        <f t="shared" si="14"/>
        <v>0</v>
      </c>
      <c r="BC11" s="5">
        <f t="shared" si="14"/>
        <v>0</v>
      </c>
      <c r="BD11" s="5">
        <f t="shared" si="14"/>
        <v>0</v>
      </c>
      <c r="BE11" s="5">
        <f t="shared" si="14"/>
        <v>0</v>
      </c>
      <c r="BF11" s="5">
        <f t="shared" si="14"/>
        <v>0</v>
      </c>
      <c r="BG11" s="5">
        <f t="shared" si="14"/>
        <v>0</v>
      </c>
      <c r="BH11" s="82">
        <f t="shared" si="14"/>
        <v>0</v>
      </c>
      <c r="BI11" s="83">
        <f t="shared" si="14"/>
        <v>0</v>
      </c>
      <c r="BJ11" s="5">
        <f t="shared" si="14"/>
        <v>0</v>
      </c>
      <c r="BK11" s="5">
        <f t="shared" si="14"/>
        <v>0</v>
      </c>
      <c r="BL11" s="5">
        <f t="shared" si="14"/>
        <v>0</v>
      </c>
      <c r="BM11" s="5">
        <f t="shared" si="14"/>
        <v>0</v>
      </c>
      <c r="BN11" s="5">
        <f t="shared" si="14"/>
        <v>0</v>
      </c>
      <c r="BO11" s="82">
        <f t="shared" si="14"/>
        <v>0</v>
      </c>
      <c r="BP11" s="83">
        <f t="shared" ref="BP11:BY11" si="15">SUM(BP18,BP24,BP30,BP36,BP42,BP48,BP54,BP60)</f>
        <v>0</v>
      </c>
      <c r="BQ11" s="5">
        <f t="shared" si="15"/>
        <v>0</v>
      </c>
      <c r="BR11" s="5">
        <f t="shared" si="15"/>
        <v>0</v>
      </c>
      <c r="BS11" s="5">
        <f t="shared" si="15"/>
        <v>0</v>
      </c>
      <c r="BT11" s="5">
        <f t="shared" si="15"/>
        <v>0</v>
      </c>
      <c r="BU11" s="5">
        <f t="shared" si="15"/>
        <v>0</v>
      </c>
      <c r="BV11" s="82">
        <f t="shared" si="15"/>
        <v>0</v>
      </c>
      <c r="BW11" s="7">
        <f t="shared" si="15"/>
        <v>0</v>
      </c>
      <c r="BX11" s="5">
        <f t="shared" si="15"/>
        <v>0</v>
      </c>
      <c r="BY11" s="5">
        <f t="shared" si="15"/>
        <v>0</v>
      </c>
    </row>
    <row r="12" spans="1:77" s="2" customFormat="1" x14ac:dyDescent="0.2">
      <c r="A12" s="53"/>
      <c r="B12" s="54"/>
      <c r="C12" s="6" t="s">
        <v>22</v>
      </c>
      <c r="D12" s="67">
        <f t="shared" ref="D12:AI12" si="16">SUM(D19,D25,D31,D37,D43,D49,D55,D61)</f>
        <v>2</v>
      </c>
      <c r="E12" s="117">
        <f t="shared" si="16"/>
        <v>0</v>
      </c>
      <c r="F12" s="131">
        <f t="shared" si="16"/>
        <v>0</v>
      </c>
      <c r="G12" s="7">
        <f t="shared" si="16"/>
        <v>0</v>
      </c>
      <c r="H12" s="67">
        <f t="shared" si="16"/>
        <v>1</v>
      </c>
      <c r="I12" s="147">
        <f t="shared" si="16"/>
        <v>0</v>
      </c>
      <c r="J12" s="7">
        <f t="shared" si="16"/>
        <v>0</v>
      </c>
      <c r="K12" s="82">
        <f t="shared" si="16"/>
        <v>0</v>
      </c>
      <c r="L12" s="83">
        <f t="shared" si="16"/>
        <v>0</v>
      </c>
      <c r="M12" s="5">
        <f t="shared" si="16"/>
        <v>1</v>
      </c>
      <c r="N12" s="5">
        <f t="shared" si="16"/>
        <v>0</v>
      </c>
      <c r="O12" s="5">
        <f t="shared" si="16"/>
        <v>0</v>
      </c>
      <c r="P12" s="5">
        <f t="shared" si="16"/>
        <v>0</v>
      </c>
      <c r="Q12" s="5">
        <f t="shared" si="16"/>
        <v>0</v>
      </c>
      <c r="R12" s="82">
        <f t="shared" si="16"/>
        <v>0</v>
      </c>
      <c r="S12" s="83">
        <f t="shared" si="16"/>
        <v>0</v>
      </c>
      <c r="T12" s="5">
        <f t="shared" si="16"/>
        <v>0</v>
      </c>
      <c r="U12" s="5">
        <f t="shared" si="16"/>
        <v>0</v>
      </c>
      <c r="V12" s="5">
        <f t="shared" si="16"/>
        <v>0</v>
      </c>
      <c r="W12" s="5">
        <f t="shared" si="16"/>
        <v>0</v>
      </c>
      <c r="X12" s="5">
        <f t="shared" si="16"/>
        <v>0</v>
      </c>
      <c r="Y12" s="82">
        <f t="shared" si="16"/>
        <v>0</v>
      </c>
      <c r="Z12" s="83">
        <f t="shared" si="16"/>
        <v>0</v>
      </c>
      <c r="AA12" s="5">
        <f t="shared" si="16"/>
        <v>0</v>
      </c>
      <c r="AB12" s="5">
        <f t="shared" si="16"/>
        <v>0</v>
      </c>
      <c r="AC12" s="5">
        <f t="shared" si="16"/>
        <v>0</v>
      </c>
      <c r="AD12" s="5">
        <f t="shared" si="16"/>
        <v>0</v>
      </c>
      <c r="AE12" s="5">
        <f t="shared" si="16"/>
        <v>0</v>
      </c>
      <c r="AF12" s="82">
        <f t="shared" si="16"/>
        <v>0</v>
      </c>
      <c r="AG12" s="83">
        <f t="shared" si="16"/>
        <v>0</v>
      </c>
      <c r="AH12" s="5">
        <f t="shared" si="16"/>
        <v>0</v>
      </c>
      <c r="AI12" s="5">
        <f t="shared" si="16"/>
        <v>0</v>
      </c>
      <c r="AJ12" s="5">
        <f t="shared" ref="AJ12:BO12" si="17">SUM(AJ19,AJ25,AJ31,AJ37,AJ43,AJ49,AJ55,AJ61)</f>
        <v>0</v>
      </c>
      <c r="AK12" s="5">
        <f t="shared" si="17"/>
        <v>0</v>
      </c>
      <c r="AL12" s="5">
        <f t="shared" si="17"/>
        <v>0</v>
      </c>
      <c r="AM12" s="82">
        <f t="shared" si="17"/>
        <v>0</v>
      </c>
      <c r="AN12" s="83">
        <f t="shared" si="17"/>
        <v>0</v>
      </c>
      <c r="AO12" s="5">
        <f t="shared" si="17"/>
        <v>0</v>
      </c>
      <c r="AP12" s="5">
        <f t="shared" si="17"/>
        <v>0</v>
      </c>
      <c r="AQ12" s="5">
        <f t="shared" si="17"/>
        <v>0</v>
      </c>
      <c r="AR12" s="5">
        <f t="shared" si="17"/>
        <v>0</v>
      </c>
      <c r="AS12" s="5">
        <f t="shared" si="17"/>
        <v>0</v>
      </c>
      <c r="AT12" s="82">
        <f t="shared" si="17"/>
        <v>0</v>
      </c>
      <c r="AU12" s="83">
        <f t="shared" si="17"/>
        <v>0</v>
      </c>
      <c r="AV12" s="5">
        <f t="shared" si="17"/>
        <v>0</v>
      </c>
      <c r="AW12" s="5">
        <f t="shared" si="17"/>
        <v>0</v>
      </c>
      <c r="AX12" s="5">
        <f t="shared" si="17"/>
        <v>0</v>
      </c>
      <c r="AY12" s="5">
        <f t="shared" si="17"/>
        <v>0</v>
      </c>
      <c r="AZ12" s="5">
        <f t="shared" si="17"/>
        <v>0</v>
      </c>
      <c r="BA12" s="82">
        <f t="shared" si="17"/>
        <v>0</v>
      </c>
      <c r="BB12" s="83">
        <f t="shared" si="17"/>
        <v>0</v>
      </c>
      <c r="BC12" s="5">
        <f t="shared" si="17"/>
        <v>0</v>
      </c>
      <c r="BD12" s="5">
        <f t="shared" si="17"/>
        <v>0</v>
      </c>
      <c r="BE12" s="5">
        <f t="shared" si="17"/>
        <v>0</v>
      </c>
      <c r="BF12" s="5">
        <f t="shared" si="17"/>
        <v>0</v>
      </c>
      <c r="BG12" s="5">
        <f t="shared" si="17"/>
        <v>0</v>
      </c>
      <c r="BH12" s="82">
        <f t="shared" si="17"/>
        <v>0</v>
      </c>
      <c r="BI12" s="83">
        <f t="shared" si="17"/>
        <v>0</v>
      </c>
      <c r="BJ12" s="5">
        <f t="shared" si="17"/>
        <v>0</v>
      </c>
      <c r="BK12" s="5">
        <f t="shared" si="17"/>
        <v>0</v>
      </c>
      <c r="BL12" s="5">
        <f t="shared" si="17"/>
        <v>0</v>
      </c>
      <c r="BM12" s="5">
        <f t="shared" si="17"/>
        <v>0</v>
      </c>
      <c r="BN12" s="5">
        <f t="shared" si="17"/>
        <v>0</v>
      </c>
      <c r="BO12" s="82">
        <f t="shared" si="17"/>
        <v>0</v>
      </c>
      <c r="BP12" s="83">
        <f t="shared" ref="BP12:BY12" si="18">SUM(BP19,BP25,BP31,BP37,BP43,BP49,BP55,BP61)</f>
        <v>0</v>
      </c>
      <c r="BQ12" s="5">
        <f t="shared" si="18"/>
        <v>0</v>
      </c>
      <c r="BR12" s="5">
        <f t="shared" si="18"/>
        <v>0</v>
      </c>
      <c r="BS12" s="5">
        <f t="shared" si="18"/>
        <v>0</v>
      </c>
      <c r="BT12" s="5">
        <f t="shared" si="18"/>
        <v>0</v>
      </c>
      <c r="BU12" s="5">
        <f t="shared" si="18"/>
        <v>0</v>
      </c>
      <c r="BV12" s="82">
        <f t="shared" si="18"/>
        <v>0</v>
      </c>
      <c r="BW12" s="7">
        <f t="shared" si="18"/>
        <v>0</v>
      </c>
      <c r="BX12" s="5">
        <f t="shared" si="18"/>
        <v>0</v>
      </c>
      <c r="BY12" s="5">
        <f t="shared" si="18"/>
        <v>0</v>
      </c>
    </row>
    <row r="13" spans="1:77" s="111" customFormat="1" ht="12" thickBot="1" x14ac:dyDescent="0.25">
      <c r="A13" s="103"/>
      <c r="B13" s="104"/>
      <c r="C13" s="105" t="s">
        <v>23</v>
      </c>
      <c r="D13" s="106"/>
      <c r="E13" s="118"/>
      <c r="F13" s="132"/>
      <c r="G13" s="110"/>
      <c r="H13" s="106"/>
      <c r="I13" s="148"/>
      <c r="J13" s="110"/>
      <c r="K13" s="109"/>
      <c r="L13" s="107"/>
      <c r="M13" s="108"/>
      <c r="N13" s="108"/>
      <c r="O13" s="108"/>
      <c r="P13" s="108"/>
      <c r="Q13" s="108"/>
      <c r="R13" s="109"/>
      <c r="S13" s="107"/>
      <c r="T13" s="108"/>
      <c r="U13" s="108"/>
      <c r="V13" s="108"/>
      <c r="W13" s="108"/>
      <c r="X13" s="108"/>
      <c r="Y13" s="109"/>
      <c r="Z13" s="107"/>
      <c r="AA13" s="108"/>
      <c r="AB13" s="108"/>
      <c r="AC13" s="108"/>
      <c r="AD13" s="108"/>
      <c r="AE13" s="108"/>
      <c r="AF13" s="109"/>
      <c r="AG13" s="107"/>
      <c r="AH13" s="108"/>
      <c r="AI13" s="108"/>
      <c r="AJ13" s="108"/>
      <c r="AK13" s="108"/>
      <c r="AL13" s="108"/>
      <c r="AM13" s="109"/>
      <c r="AN13" s="107"/>
      <c r="AO13" s="108"/>
      <c r="AP13" s="108"/>
      <c r="AQ13" s="108"/>
      <c r="AR13" s="108"/>
      <c r="AS13" s="108"/>
      <c r="AT13" s="109"/>
      <c r="AU13" s="107"/>
      <c r="AV13" s="108"/>
      <c r="AW13" s="108"/>
      <c r="AX13" s="108"/>
      <c r="AY13" s="108"/>
      <c r="AZ13" s="108"/>
      <c r="BA13" s="109"/>
      <c r="BB13" s="107"/>
      <c r="BC13" s="108"/>
      <c r="BD13" s="108"/>
      <c r="BE13" s="108"/>
      <c r="BF13" s="108"/>
      <c r="BG13" s="108"/>
      <c r="BH13" s="109"/>
      <c r="BI13" s="107"/>
      <c r="BJ13" s="108"/>
      <c r="BK13" s="108"/>
      <c r="BL13" s="108"/>
      <c r="BM13" s="108"/>
      <c r="BN13" s="108"/>
      <c r="BO13" s="109"/>
      <c r="BP13" s="107"/>
      <c r="BQ13" s="108"/>
      <c r="BR13" s="108"/>
      <c r="BS13" s="108"/>
      <c r="BT13" s="108"/>
      <c r="BU13" s="108"/>
      <c r="BV13" s="109"/>
      <c r="BW13" s="110"/>
      <c r="BX13" s="108"/>
      <c r="BY13" s="108"/>
    </row>
    <row r="14" spans="1:77" ht="21.75" thickTop="1" x14ac:dyDescent="0.2">
      <c r="A14" s="319" t="s">
        <v>89</v>
      </c>
      <c r="B14" s="319"/>
      <c r="C14" s="319"/>
      <c r="D14" s="319"/>
      <c r="E14" s="72"/>
      <c r="K14" s="73"/>
      <c r="L14" s="72"/>
      <c r="R14" s="73"/>
      <c r="S14" s="72"/>
      <c r="Y14" s="73"/>
      <c r="Z14" s="72"/>
      <c r="AF14" s="73"/>
      <c r="AG14" s="72"/>
      <c r="AM14" s="73"/>
      <c r="AN14" s="72"/>
      <c r="AT14" s="73"/>
      <c r="AU14" s="72"/>
      <c r="BA14" s="73"/>
      <c r="BB14" s="72"/>
      <c r="BH14" s="73"/>
      <c r="BI14" s="72"/>
      <c r="BO14" s="73"/>
      <c r="BP14" s="72"/>
      <c r="BV14" s="73"/>
    </row>
    <row r="15" spans="1:77" s="3" customFormat="1" x14ac:dyDescent="0.2">
      <c r="A15" s="51" t="s">
        <v>2</v>
      </c>
      <c r="B15" s="51" t="s">
        <v>90</v>
      </c>
      <c r="C15" s="55" t="s">
        <v>18</v>
      </c>
      <c r="D15" s="68"/>
      <c r="E15" s="119"/>
      <c r="F15" s="133"/>
      <c r="G15" s="61"/>
      <c r="H15" s="68"/>
      <c r="I15" s="149"/>
      <c r="J15" s="61"/>
      <c r="K15" s="85"/>
      <c r="L15" s="84"/>
      <c r="M15" s="60"/>
      <c r="N15" s="60"/>
      <c r="O15" s="60"/>
      <c r="P15" s="60"/>
      <c r="Q15" s="60"/>
      <c r="R15" s="85"/>
      <c r="S15" s="84"/>
      <c r="T15" s="60"/>
      <c r="U15" s="60"/>
      <c r="V15" s="60"/>
      <c r="W15" s="60"/>
      <c r="X15" s="60"/>
      <c r="Y15" s="85"/>
      <c r="Z15" s="84"/>
      <c r="AA15" s="60"/>
      <c r="AB15" s="60"/>
      <c r="AC15" s="60"/>
      <c r="AD15" s="60"/>
      <c r="AE15" s="60"/>
      <c r="AF15" s="85"/>
      <c r="AG15" s="84"/>
      <c r="AH15" s="60"/>
      <c r="AI15" s="60"/>
      <c r="AJ15" s="60"/>
      <c r="AK15" s="60"/>
      <c r="AL15" s="60"/>
      <c r="AM15" s="85"/>
      <c r="AN15" s="84"/>
      <c r="AO15" s="60"/>
      <c r="AP15" s="60"/>
      <c r="AQ15" s="60"/>
      <c r="AR15" s="60"/>
      <c r="AS15" s="60"/>
      <c r="AT15" s="85"/>
      <c r="AU15" s="84"/>
      <c r="AV15" s="60"/>
      <c r="AW15" s="60"/>
      <c r="AX15" s="60"/>
      <c r="AY15" s="60"/>
      <c r="AZ15" s="60"/>
      <c r="BA15" s="85"/>
      <c r="BB15" s="84"/>
      <c r="BC15" s="60"/>
      <c r="BD15" s="60"/>
      <c r="BE15" s="60"/>
      <c r="BF15" s="60"/>
      <c r="BG15" s="60"/>
      <c r="BH15" s="85"/>
      <c r="BI15" s="84"/>
      <c r="BJ15" s="60"/>
      <c r="BK15" s="60"/>
      <c r="BL15" s="60"/>
      <c r="BM15" s="60"/>
      <c r="BN15" s="60"/>
      <c r="BO15" s="85"/>
      <c r="BP15" s="84"/>
      <c r="BQ15" s="60"/>
      <c r="BR15" s="60"/>
      <c r="BS15" s="60"/>
      <c r="BT15" s="60"/>
      <c r="BU15" s="60"/>
      <c r="BV15" s="85"/>
      <c r="BW15" s="61"/>
      <c r="BX15" s="60"/>
      <c r="BY15" s="60"/>
    </row>
    <row r="16" spans="1:77" x14ac:dyDescent="0.2">
      <c r="A16" s="53" t="s">
        <v>91</v>
      </c>
      <c r="B16" s="154">
        <f ca="1">SUMIF($E$6:$BY$6,"&lt;"&amp;TODAY(),E16:BY16)</f>
        <v>671</v>
      </c>
      <c r="C16" s="6" t="s">
        <v>19</v>
      </c>
      <c r="D16" s="69">
        <f>SUM(E16:BY16)</f>
        <v>671</v>
      </c>
      <c r="E16" s="120">
        <v>13</v>
      </c>
      <c r="F16" s="134">
        <v>0</v>
      </c>
      <c r="G16" s="63">
        <v>12</v>
      </c>
      <c r="H16" s="69">
        <v>6</v>
      </c>
      <c r="I16" s="150">
        <v>13</v>
      </c>
      <c r="J16" s="63"/>
      <c r="K16" s="86"/>
      <c r="L16" s="87">
        <v>33</v>
      </c>
      <c r="M16" s="87">
        <v>33</v>
      </c>
      <c r="N16" s="87">
        <v>33</v>
      </c>
      <c r="O16" s="87">
        <v>33</v>
      </c>
      <c r="P16" s="87">
        <v>33</v>
      </c>
      <c r="Q16" s="62"/>
      <c r="R16" s="86"/>
      <c r="S16" s="87">
        <v>44</v>
      </c>
      <c r="T16" s="87">
        <v>44</v>
      </c>
      <c r="U16" s="87">
        <v>44</v>
      </c>
      <c r="V16" s="87">
        <v>44</v>
      </c>
      <c r="W16" s="87">
        <v>44</v>
      </c>
      <c r="X16" s="62"/>
      <c r="Y16" s="86"/>
      <c r="Z16" s="87">
        <v>33</v>
      </c>
      <c r="AA16" s="62">
        <v>33</v>
      </c>
      <c r="AB16" s="62">
        <v>22</v>
      </c>
      <c r="AC16" s="62">
        <v>22</v>
      </c>
      <c r="AD16" s="62">
        <v>22</v>
      </c>
      <c r="AE16" s="62"/>
      <c r="AF16" s="86"/>
      <c r="AG16" s="87">
        <v>11</v>
      </c>
      <c r="AH16" s="87">
        <v>11</v>
      </c>
      <c r="AI16" s="87">
        <v>11</v>
      </c>
      <c r="AJ16" s="87">
        <v>11</v>
      </c>
      <c r="AK16" s="87">
        <v>11</v>
      </c>
      <c r="AL16" s="62"/>
      <c r="AM16" s="86"/>
      <c r="AN16" s="87">
        <v>11</v>
      </c>
      <c r="AO16" s="87">
        <v>11</v>
      </c>
      <c r="AP16" s="87">
        <v>11</v>
      </c>
      <c r="AQ16" s="87">
        <v>11</v>
      </c>
      <c r="AR16" s="87">
        <v>11</v>
      </c>
      <c r="AS16" s="62"/>
      <c r="AT16" s="86"/>
      <c r="AU16" s="87"/>
      <c r="AV16" s="62"/>
      <c r="AW16" s="62"/>
      <c r="AX16" s="62"/>
      <c r="AY16" s="62"/>
      <c r="AZ16" s="62"/>
      <c r="BA16" s="86"/>
      <c r="BB16" s="87"/>
      <c r="BC16" s="62"/>
      <c r="BD16" s="62"/>
      <c r="BE16" s="62"/>
      <c r="BF16" s="62"/>
      <c r="BG16" s="62"/>
      <c r="BH16" s="86"/>
      <c r="BI16" s="87"/>
      <c r="BJ16" s="62"/>
      <c r="BK16" s="62"/>
      <c r="BL16" s="62"/>
      <c r="BM16" s="62"/>
      <c r="BN16" s="62"/>
      <c r="BO16" s="86"/>
      <c r="BP16" s="87"/>
      <c r="BQ16" s="62"/>
      <c r="BR16" s="62"/>
      <c r="BS16" s="62"/>
      <c r="BT16" s="62"/>
      <c r="BU16" s="62"/>
      <c r="BV16" s="86"/>
      <c r="BW16" s="63"/>
      <c r="BX16" s="62"/>
      <c r="BY16" s="62"/>
    </row>
    <row r="17" spans="1:77" x14ac:dyDescent="0.2">
      <c r="A17" s="53" t="s">
        <v>92</v>
      </c>
      <c r="B17" s="154">
        <f ca="1">SUMIF($E$6:$BY$6,"&lt;"&amp;TODAY(),E17:BY17)</f>
        <v>88</v>
      </c>
      <c r="C17" s="6" t="s">
        <v>20</v>
      </c>
      <c r="D17" s="69">
        <f>SUM(E17:BY17)</f>
        <v>88</v>
      </c>
      <c r="E17" s="120">
        <v>13</v>
      </c>
      <c r="F17" s="134">
        <v>0</v>
      </c>
      <c r="G17" s="63">
        <v>12</v>
      </c>
      <c r="H17" s="69">
        <v>6</v>
      </c>
      <c r="I17" s="150">
        <v>13</v>
      </c>
      <c r="J17" s="63"/>
      <c r="K17" s="86"/>
      <c r="L17" s="87">
        <v>27</v>
      </c>
      <c r="M17" s="62">
        <v>17</v>
      </c>
      <c r="N17" s="62">
        <v>0</v>
      </c>
      <c r="O17" s="62"/>
      <c r="P17" s="62"/>
      <c r="Q17" s="62"/>
      <c r="R17" s="86"/>
      <c r="S17" s="87"/>
      <c r="T17" s="62"/>
      <c r="U17" s="62"/>
      <c r="V17" s="62"/>
      <c r="W17" s="62"/>
      <c r="X17" s="62"/>
      <c r="Y17" s="86"/>
      <c r="Z17" s="87"/>
      <c r="AA17" s="62"/>
      <c r="AB17" s="62"/>
      <c r="AC17" s="62"/>
      <c r="AD17" s="62"/>
      <c r="AE17" s="62"/>
      <c r="AF17" s="86"/>
      <c r="AG17" s="87"/>
      <c r="AH17" s="62"/>
      <c r="AI17" s="62"/>
      <c r="AJ17" s="62"/>
      <c r="AK17" s="62"/>
      <c r="AL17" s="62"/>
      <c r="AM17" s="86"/>
      <c r="AN17" s="87"/>
      <c r="AO17" s="62"/>
      <c r="AP17" s="62"/>
      <c r="AQ17" s="62"/>
      <c r="AR17" s="62"/>
      <c r="AS17" s="62"/>
      <c r="AT17" s="86"/>
      <c r="AU17" s="87"/>
      <c r="AV17" s="62"/>
      <c r="AW17" s="62"/>
      <c r="AX17" s="62"/>
      <c r="AY17" s="62"/>
      <c r="AZ17" s="62"/>
      <c r="BA17" s="86"/>
      <c r="BB17" s="87"/>
      <c r="BC17" s="62"/>
      <c r="BD17" s="62"/>
      <c r="BE17" s="62"/>
      <c r="BF17" s="62"/>
      <c r="BG17" s="62"/>
      <c r="BH17" s="86"/>
      <c r="BI17" s="87"/>
      <c r="BJ17" s="62"/>
      <c r="BK17" s="62"/>
      <c r="BL17" s="62"/>
      <c r="BM17" s="62"/>
      <c r="BN17" s="62"/>
      <c r="BO17" s="86"/>
      <c r="BP17" s="87"/>
      <c r="BQ17" s="62"/>
      <c r="BR17" s="62"/>
      <c r="BS17" s="62"/>
      <c r="BT17" s="62"/>
      <c r="BU17" s="62"/>
      <c r="BV17" s="86"/>
      <c r="BW17" s="63"/>
      <c r="BX17" s="62"/>
      <c r="BY17" s="62"/>
    </row>
    <row r="18" spans="1:77" x14ac:dyDescent="0.2">
      <c r="A18" s="53" t="s">
        <v>93</v>
      </c>
      <c r="B18" s="154">
        <f ca="1">SUMIF($E$6:$BY$6,"&lt;"&amp;TODAY(),E18:BY18)</f>
        <v>0</v>
      </c>
      <c r="C18" s="6" t="s">
        <v>21</v>
      </c>
      <c r="D18" s="69">
        <f>SUM(E18:BY18)</f>
        <v>0</v>
      </c>
      <c r="E18" s="120"/>
      <c r="F18" s="134"/>
      <c r="G18" s="63"/>
      <c r="H18" s="69"/>
      <c r="I18" s="150"/>
      <c r="J18" s="63"/>
      <c r="K18" s="86"/>
      <c r="L18" s="87"/>
      <c r="M18" s="62"/>
      <c r="N18" s="62"/>
      <c r="O18" s="62"/>
      <c r="P18" s="62"/>
      <c r="Q18" s="62"/>
      <c r="R18" s="86"/>
      <c r="S18" s="87"/>
      <c r="T18" s="62"/>
      <c r="U18" s="62"/>
      <c r="V18" s="62"/>
      <c r="W18" s="62"/>
      <c r="X18" s="62"/>
      <c r="Y18" s="86"/>
      <c r="Z18" s="87"/>
      <c r="AA18" s="62"/>
      <c r="AB18" s="62"/>
      <c r="AC18" s="62"/>
      <c r="AD18" s="62"/>
      <c r="AE18" s="62"/>
      <c r="AF18" s="86"/>
      <c r="AG18" s="87"/>
      <c r="AH18" s="62"/>
      <c r="AI18" s="62"/>
      <c r="AJ18" s="62"/>
      <c r="AK18" s="62"/>
      <c r="AL18" s="62"/>
      <c r="AM18" s="86"/>
      <c r="AN18" s="87"/>
      <c r="AO18" s="62"/>
      <c r="AP18" s="62"/>
      <c r="AQ18" s="62"/>
      <c r="AR18" s="62"/>
      <c r="AS18" s="62"/>
      <c r="AT18" s="86"/>
      <c r="AU18" s="87"/>
      <c r="AV18" s="62"/>
      <c r="AW18" s="62"/>
      <c r="AX18" s="62"/>
      <c r="AY18" s="62"/>
      <c r="AZ18" s="62"/>
      <c r="BA18" s="86"/>
      <c r="BB18" s="87"/>
      <c r="BC18" s="62"/>
      <c r="BD18" s="62"/>
      <c r="BE18" s="62"/>
      <c r="BF18" s="62"/>
      <c r="BG18" s="62"/>
      <c r="BH18" s="86"/>
      <c r="BI18" s="87"/>
      <c r="BJ18" s="62"/>
      <c r="BK18" s="62"/>
      <c r="BL18" s="62"/>
      <c r="BM18" s="62"/>
      <c r="BN18" s="62"/>
      <c r="BO18" s="86"/>
      <c r="BP18" s="87"/>
      <c r="BQ18" s="62"/>
      <c r="BR18" s="62"/>
      <c r="BS18" s="62"/>
      <c r="BT18" s="62"/>
      <c r="BU18" s="62"/>
      <c r="BV18" s="86"/>
      <c r="BW18" s="63"/>
      <c r="BX18" s="62"/>
      <c r="BY18" s="62"/>
    </row>
    <row r="19" spans="1:77" x14ac:dyDescent="0.2">
      <c r="A19" s="53" t="s">
        <v>94</v>
      </c>
      <c r="B19" s="154">
        <f ca="1">SUMIF($E$6:$BY$6,"&lt;"&amp;TODAY(),E19:BY19)</f>
        <v>0</v>
      </c>
      <c r="C19" s="6" t="s">
        <v>22</v>
      </c>
      <c r="D19" s="69">
        <f>SUM(E19:BY19)</f>
        <v>0</v>
      </c>
      <c r="E19" s="120"/>
      <c r="F19" s="134"/>
      <c r="G19" s="63"/>
      <c r="H19" s="69"/>
      <c r="I19" s="150"/>
      <c r="J19" s="63"/>
      <c r="K19" s="86"/>
      <c r="L19" s="87"/>
      <c r="M19" s="62"/>
      <c r="N19" s="62"/>
      <c r="O19" s="62"/>
      <c r="P19" s="62"/>
      <c r="Q19" s="62"/>
      <c r="R19" s="86"/>
      <c r="S19" s="87"/>
      <c r="T19" s="62"/>
      <c r="U19" s="62"/>
      <c r="V19" s="62"/>
      <c r="W19" s="62"/>
      <c r="X19" s="62"/>
      <c r="Y19" s="86"/>
      <c r="Z19" s="87"/>
      <c r="AA19" s="62"/>
      <c r="AB19" s="62"/>
      <c r="AC19" s="62"/>
      <c r="AD19" s="62"/>
      <c r="AE19" s="62"/>
      <c r="AF19" s="86"/>
      <c r="AG19" s="87"/>
      <c r="AH19" s="62"/>
      <c r="AI19" s="62"/>
      <c r="AJ19" s="62"/>
      <c r="AK19" s="62"/>
      <c r="AL19" s="62"/>
      <c r="AM19" s="86"/>
      <c r="AN19" s="87"/>
      <c r="AO19" s="62"/>
      <c r="AP19" s="62"/>
      <c r="AQ19" s="62"/>
      <c r="AR19" s="62"/>
      <c r="AS19" s="62"/>
      <c r="AT19" s="86"/>
      <c r="AU19" s="87"/>
      <c r="AV19" s="62"/>
      <c r="AW19" s="62"/>
      <c r="AX19" s="62"/>
      <c r="AY19" s="62"/>
      <c r="AZ19" s="62"/>
      <c r="BA19" s="86"/>
      <c r="BB19" s="87"/>
      <c r="BC19" s="62"/>
      <c r="BD19" s="62"/>
      <c r="BE19" s="62"/>
      <c r="BF19" s="62"/>
      <c r="BG19" s="62"/>
      <c r="BH19" s="86"/>
      <c r="BI19" s="87"/>
      <c r="BJ19" s="62"/>
      <c r="BK19" s="62"/>
      <c r="BL19" s="62"/>
      <c r="BM19" s="62"/>
      <c r="BN19" s="62"/>
      <c r="BO19" s="86"/>
      <c r="BP19" s="87"/>
      <c r="BQ19" s="62"/>
      <c r="BR19" s="62"/>
      <c r="BS19" s="62"/>
      <c r="BT19" s="62"/>
      <c r="BU19" s="62"/>
      <c r="BV19" s="86"/>
      <c r="BW19" s="63"/>
      <c r="BX19" s="62"/>
      <c r="BY19" s="62"/>
    </row>
    <row r="20" spans="1:77" s="102" customFormat="1" x14ac:dyDescent="0.2">
      <c r="A20" s="96"/>
      <c r="B20" s="96"/>
      <c r="C20" s="97" t="s">
        <v>23</v>
      </c>
      <c r="D20" s="98"/>
      <c r="E20" s="121"/>
      <c r="F20" s="135"/>
      <c r="G20" s="101"/>
      <c r="H20" s="98"/>
      <c r="I20" s="151"/>
      <c r="J20" s="101"/>
      <c r="K20" s="100"/>
      <c r="L20" s="95" t="s">
        <v>34</v>
      </c>
      <c r="M20" s="99" t="s">
        <v>36</v>
      </c>
      <c r="N20" s="99" t="s">
        <v>95</v>
      </c>
      <c r="O20" s="99"/>
      <c r="P20" s="99"/>
      <c r="Q20" s="99"/>
      <c r="R20" s="100"/>
      <c r="S20" s="95"/>
      <c r="T20" s="99"/>
      <c r="U20" s="99"/>
      <c r="V20" s="99"/>
      <c r="W20" s="99"/>
      <c r="X20" s="99"/>
      <c r="Y20" s="100"/>
      <c r="Z20" s="95"/>
      <c r="AA20" s="99"/>
      <c r="AB20" s="99"/>
      <c r="AC20" s="99"/>
      <c r="AD20" s="99"/>
      <c r="AE20" s="99"/>
      <c r="AF20" s="100"/>
      <c r="AG20" s="95"/>
      <c r="AH20" s="99"/>
      <c r="AI20" s="99"/>
      <c r="AJ20" s="99"/>
      <c r="AK20" s="99"/>
      <c r="AL20" s="99"/>
      <c r="AM20" s="100"/>
      <c r="AN20" s="95"/>
      <c r="AO20" s="99"/>
      <c r="AP20" s="99"/>
      <c r="AQ20" s="99"/>
      <c r="AR20" s="99"/>
      <c r="AS20" s="99"/>
      <c r="AT20" s="100"/>
      <c r="AU20" s="95"/>
      <c r="AV20" s="99"/>
      <c r="AW20" s="99"/>
      <c r="AX20" s="99"/>
      <c r="AY20" s="99"/>
      <c r="AZ20" s="99"/>
      <c r="BA20" s="100"/>
      <c r="BB20" s="95"/>
      <c r="BC20" s="99"/>
      <c r="BD20" s="99"/>
      <c r="BE20" s="99"/>
      <c r="BF20" s="99"/>
      <c r="BG20" s="99"/>
      <c r="BH20" s="100"/>
      <c r="BI20" s="95"/>
      <c r="BJ20" s="99"/>
      <c r="BK20" s="99"/>
      <c r="BL20" s="99"/>
      <c r="BM20" s="99"/>
      <c r="BN20" s="99"/>
      <c r="BO20" s="100"/>
      <c r="BP20" s="95"/>
      <c r="BQ20" s="99"/>
      <c r="BR20" s="99"/>
      <c r="BS20" s="99"/>
      <c r="BT20" s="99"/>
      <c r="BU20" s="99"/>
      <c r="BV20" s="100"/>
      <c r="BW20" s="101"/>
      <c r="BX20" s="99"/>
      <c r="BY20" s="99"/>
    </row>
    <row r="21" spans="1:77" s="3" customFormat="1" x14ac:dyDescent="0.2">
      <c r="A21" s="51" t="s">
        <v>3</v>
      </c>
      <c r="B21" s="51" t="s">
        <v>61</v>
      </c>
      <c r="C21" s="55" t="s">
        <v>18</v>
      </c>
      <c r="D21" s="68"/>
      <c r="E21" s="119"/>
      <c r="F21" s="133"/>
      <c r="G21" s="61"/>
      <c r="H21" s="68"/>
      <c r="I21" s="149"/>
      <c r="J21" s="61"/>
      <c r="K21" s="85"/>
      <c r="L21" s="84"/>
      <c r="M21" s="60"/>
      <c r="N21" s="60"/>
      <c r="O21" s="60"/>
      <c r="P21" s="60"/>
      <c r="Q21" s="60"/>
      <c r="R21" s="85"/>
      <c r="S21" s="84"/>
      <c r="T21" s="60"/>
      <c r="U21" s="60"/>
      <c r="V21" s="60"/>
      <c r="W21" s="60"/>
      <c r="X21" s="60"/>
      <c r="Y21" s="85"/>
      <c r="Z21" s="84"/>
      <c r="AA21" s="60"/>
      <c r="AB21" s="60"/>
      <c r="AC21" s="60"/>
      <c r="AD21" s="60"/>
      <c r="AE21" s="60"/>
      <c r="AF21" s="85"/>
      <c r="AG21" s="84"/>
      <c r="AH21" s="60"/>
      <c r="AI21" s="60"/>
      <c r="AJ21" s="60"/>
      <c r="AK21" s="60"/>
      <c r="AL21" s="60"/>
      <c r="AM21" s="85"/>
      <c r="AN21" s="84"/>
      <c r="AO21" s="60"/>
      <c r="AP21" s="60"/>
      <c r="AQ21" s="60"/>
      <c r="AR21" s="60"/>
      <c r="AS21" s="60"/>
      <c r="AT21" s="85"/>
      <c r="AU21" s="84"/>
      <c r="AV21" s="60"/>
      <c r="AW21" s="60"/>
      <c r="AX21" s="60"/>
      <c r="AY21" s="60"/>
      <c r="AZ21" s="60"/>
      <c r="BA21" s="85"/>
      <c r="BB21" s="84"/>
      <c r="BC21" s="60"/>
      <c r="BD21" s="60"/>
      <c r="BE21" s="60"/>
      <c r="BF21" s="60"/>
      <c r="BG21" s="60"/>
      <c r="BH21" s="85"/>
      <c r="BI21" s="84"/>
      <c r="BJ21" s="60"/>
      <c r="BK21" s="60"/>
      <c r="BL21" s="60"/>
      <c r="BM21" s="60"/>
      <c r="BN21" s="60"/>
      <c r="BO21" s="85"/>
      <c r="BP21" s="84"/>
      <c r="BQ21" s="60"/>
      <c r="BR21" s="60"/>
      <c r="BS21" s="60"/>
      <c r="BT21" s="60"/>
      <c r="BU21" s="60"/>
      <c r="BV21" s="85"/>
      <c r="BW21" s="61"/>
      <c r="BX21" s="60"/>
      <c r="BY21" s="60"/>
    </row>
    <row r="22" spans="1:77" x14ac:dyDescent="0.2">
      <c r="A22" s="53" t="s">
        <v>91</v>
      </c>
      <c r="B22" s="154">
        <f ca="1">SUMIF($E$6:$BY$6,"&lt;"&amp;TODAY(),E22:BY22)</f>
        <v>947</v>
      </c>
      <c r="C22" s="6" t="s">
        <v>19</v>
      </c>
      <c r="D22" s="69">
        <f>SUM(E22:BY22)</f>
        <v>947</v>
      </c>
      <c r="E22" s="120">
        <v>0</v>
      </c>
      <c r="F22" s="134">
        <v>0</v>
      </c>
      <c r="G22" s="63">
        <v>0</v>
      </c>
      <c r="H22" s="69">
        <v>0</v>
      </c>
      <c r="I22" s="150">
        <v>0</v>
      </c>
      <c r="J22" s="63">
        <v>0</v>
      </c>
      <c r="K22" s="86">
        <v>0</v>
      </c>
      <c r="L22" s="87">
        <v>57</v>
      </c>
      <c r="M22" s="62">
        <v>57</v>
      </c>
      <c r="N22" s="62">
        <v>73</v>
      </c>
      <c r="O22" s="62">
        <v>72</v>
      </c>
      <c r="P22" s="62">
        <v>21</v>
      </c>
      <c r="Q22" s="62"/>
      <c r="R22" s="86"/>
      <c r="S22" s="87">
        <v>69</v>
      </c>
      <c r="T22" s="62">
        <v>68</v>
      </c>
      <c r="U22" s="62">
        <v>21</v>
      </c>
      <c r="V22" s="62">
        <v>17</v>
      </c>
      <c r="W22" s="62">
        <v>11</v>
      </c>
      <c r="X22" s="62"/>
      <c r="Y22" s="86"/>
      <c r="Z22" s="87">
        <v>16</v>
      </c>
      <c r="AA22" s="62">
        <v>31</v>
      </c>
      <c r="AB22" s="62">
        <v>34</v>
      </c>
      <c r="AC22" s="62">
        <v>45</v>
      </c>
      <c r="AD22" s="62">
        <v>17</v>
      </c>
      <c r="AE22" s="62"/>
      <c r="AF22" s="86"/>
      <c r="AG22" s="87">
        <v>23</v>
      </c>
      <c r="AH22" s="62">
        <v>32</v>
      </c>
      <c r="AI22" s="62">
        <v>22</v>
      </c>
      <c r="AJ22" s="62">
        <v>17</v>
      </c>
      <c r="AK22" s="62">
        <v>56</v>
      </c>
      <c r="AL22" s="62"/>
      <c r="AM22" s="86"/>
      <c r="AN22" s="87">
        <v>28</v>
      </c>
      <c r="AO22" s="62">
        <v>27</v>
      </c>
      <c r="AP22" s="62">
        <v>31</v>
      </c>
      <c r="AQ22" s="62">
        <v>57</v>
      </c>
      <c r="AR22" s="62">
        <v>31</v>
      </c>
      <c r="AS22" s="62"/>
      <c r="AT22" s="86"/>
      <c r="AU22" s="87">
        <v>14</v>
      </c>
      <c r="AV22" s="62"/>
      <c r="AW22" s="62"/>
      <c r="AX22" s="62"/>
      <c r="AY22" s="62"/>
      <c r="AZ22" s="62"/>
      <c r="BA22" s="86"/>
      <c r="BB22" s="87"/>
      <c r="BC22" s="62"/>
      <c r="BD22" s="62"/>
      <c r="BE22" s="62"/>
      <c r="BF22" s="62"/>
      <c r="BG22" s="62"/>
      <c r="BH22" s="86"/>
      <c r="BI22" s="87"/>
      <c r="BJ22" s="62"/>
      <c r="BK22" s="62"/>
      <c r="BL22" s="62"/>
      <c r="BM22" s="62"/>
      <c r="BN22" s="62"/>
      <c r="BO22" s="86"/>
      <c r="BP22" s="87"/>
      <c r="BQ22" s="62"/>
      <c r="BR22" s="62"/>
      <c r="BS22" s="62"/>
      <c r="BT22" s="62"/>
      <c r="BU22" s="62"/>
      <c r="BV22" s="86"/>
      <c r="BW22" s="63"/>
      <c r="BX22" s="62"/>
      <c r="BY22" s="62"/>
    </row>
    <row r="23" spans="1:77" x14ac:dyDescent="0.2">
      <c r="A23" s="53" t="s">
        <v>92</v>
      </c>
      <c r="B23" s="154">
        <f ca="1">SUMIF($E$6:$BY$6,"&lt;"&amp;TODAY(),E23:BY23)</f>
        <v>283</v>
      </c>
      <c r="C23" s="6" t="s">
        <v>20</v>
      </c>
      <c r="D23" s="69">
        <f>SUM(E23:BY23)</f>
        <v>283</v>
      </c>
      <c r="E23" s="120"/>
      <c r="F23" s="134"/>
      <c r="G23" s="63"/>
      <c r="H23" s="69"/>
      <c r="I23" s="150"/>
      <c r="J23" s="63"/>
      <c r="K23" s="86"/>
      <c r="L23" s="87">
        <v>57</v>
      </c>
      <c r="M23" s="62">
        <v>64</v>
      </c>
      <c r="N23" s="62">
        <v>64</v>
      </c>
      <c r="O23" s="62">
        <v>98</v>
      </c>
      <c r="P23" s="62"/>
      <c r="Q23" s="62"/>
      <c r="R23" s="86"/>
      <c r="S23" s="87"/>
      <c r="T23" s="62"/>
      <c r="U23" s="62"/>
      <c r="V23" s="62"/>
      <c r="W23" s="62"/>
      <c r="X23" s="62"/>
      <c r="Y23" s="86"/>
      <c r="Z23" s="87"/>
      <c r="AA23" s="62"/>
      <c r="AB23" s="62"/>
      <c r="AC23" s="62"/>
      <c r="AD23" s="62"/>
      <c r="AE23" s="62"/>
      <c r="AF23" s="86"/>
      <c r="AG23" s="87"/>
      <c r="AH23" s="62"/>
      <c r="AI23" s="62"/>
      <c r="AJ23" s="62"/>
      <c r="AK23" s="62"/>
      <c r="AL23" s="62"/>
      <c r="AM23" s="86"/>
      <c r="AN23" s="87"/>
      <c r="AO23" s="62"/>
      <c r="AP23" s="62"/>
      <c r="AQ23" s="62"/>
      <c r="AR23" s="62"/>
      <c r="AS23" s="62"/>
      <c r="AT23" s="86"/>
      <c r="AU23" s="87"/>
      <c r="AV23" s="62"/>
      <c r="AW23" s="62"/>
      <c r="AX23" s="62"/>
      <c r="AY23" s="62"/>
      <c r="AZ23" s="62"/>
      <c r="BA23" s="86"/>
      <c r="BB23" s="87"/>
      <c r="BC23" s="62"/>
      <c r="BD23" s="62"/>
      <c r="BE23" s="62"/>
      <c r="BF23" s="62"/>
      <c r="BG23" s="62"/>
      <c r="BH23" s="86"/>
      <c r="BI23" s="87"/>
      <c r="BJ23" s="62"/>
      <c r="BK23" s="62"/>
      <c r="BL23" s="62"/>
      <c r="BM23" s="62"/>
      <c r="BN23" s="62"/>
      <c r="BO23" s="86"/>
      <c r="BP23" s="87"/>
      <c r="BQ23" s="62"/>
      <c r="BR23" s="62"/>
      <c r="BS23" s="62"/>
      <c r="BT23" s="62"/>
      <c r="BU23" s="62"/>
      <c r="BV23" s="86"/>
      <c r="BW23" s="63"/>
      <c r="BX23" s="62"/>
      <c r="BY23" s="62"/>
    </row>
    <row r="24" spans="1:77" x14ac:dyDescent="0.2">
      <c r="A24" s="53" t="s">
        <v>93</v>
      </c>
      <c r="B24" s="154">
        <f ca="1">SUMIF($E$6:$BY$6,"&lt;"&amp;TODAY(),E24:BY24)</f>
        <v>5</v>
      </c>
      <c r="C24" s="6" t="s">
        <v>21</v>
      </c>
      <c r="D24" s="69">
        <f>SUM(E24:BY24)</f>
        <v>5</v>
      </c>
      <c r="E24" s="120"/>
      <c r="F24" s="134"/>
      <c r="G24" s="63"/>
      <c r="H24" s="69"/>
      <c r="I24" s="150">
        <v>0</v>
      </c>
      <c r="J24" s="63"/>
      <c r="K24" s="86"/>
      <c r="L24" s="87"/>
      <c r="M24" s="62"/>
      <c r="N24" s="62"/>
      <c r="O24" s="62"/>
      <c r="P24" s="62">
        <v>1</v>
      </c>
      <c r="Q24" s="62"/>
      <c r="R24" s="86"/>
      <c r="S24" s="87">
        <v>1</v>
      </c>
      <c r="T24" s="62"/>
      <c r="U24" s="62"/>
      <c r="V24" s="62"/>
      <c r="W24" s="62"/>
      <c r="X24" s="62"/>
      <c r="Y24" s="86"/>
      <c r="Z24" s="87">
        <v>1</v>
      </c>
      <c r="AA24" s="62"/>
      <c r="AB24" s="62"/>
      <c r="AC24" s="62"/>
      <c r="AD24" s="62"/>
      <c r="AE24" s="62"/>
      <c r="AF24" s="86"/>
      <c r="AG24" s="87">
        <v>1</v>
      </c>
      <c r="AH24" s="62"/>
      <c r="AI24" s="62"/>
      <c r="AJ24" s="62"/>
      <c r="AK24" s="62"/>
      <c r="AL24" s="62"/>
      <c r="AM24" s="86"/>
      <c r="AN24" s="87">
        <v>1</v>
      </c>
      <c r="AO24" s="62"/>
      <c r="AP24" s="62"/>
      <c r="AQ24" s="62"/>
      <c r="AR24" s="62"/>
      <c r="AS24" s="62"/>
      <c r="AT24" s="86"/>
      <c r="AU24" s="87"/>
      <c r="AV24" s="62"/>
      <c r="AW24" s="62"/>
      <c r="AX24" s="62"/>
      <c r="AY24" s="62"/>
      <c r="AZ24" s="62"/>
      <c r="BA24" s="86"/>
      <c r="BB24" s="87"/>
      <c r="BC24" s="62"/>
      <c r="BD24" s="62"/>
      <c r="BE24" s="62"/>
      <c r="BF24" s="62"/>
      <c r="BG24" s="62"/>
      <c r="BH24" s="86"/>
      <c r="BI24" s="87"/>
      <c r="BJ24" s="62"/>
      <c r="BK24" s="62"/>
      <c r="BL24" s="62"/>
      <c r="BM24" s="62"/>
      <c r="BN24" s="62"/>
      <c r="BO24" s="86"/>
      <c r="BP24" s="87"/>
      <c r="BQ24" s="62"/>
      <c r="BR24" s="62"/>
      <c r="BS24" s="62"/>
      <c r="BT24" s="62"/>
      <c r="BU24" s="62"/>
      <c r="BV24" s="86"/>
      <c r="BW24" s="63"/>
      <c r="BX24" s="62"/>
      <c r="BY24" s="62"/>
    </row>
    <row r="25" spans="1:77" x14ac:dyDescent="0.2">
      <c r="A25" s="53" t="s">
        <v>94</v>
      </c>
      <c r="B25" s="154">
        <f ca="1">SUMIF($E$6:$BY$6,"&lt;"&amp;TODAY(),E25:BY25)</f>
        <v>0</v>
      </c>
      <c r="C25" s="6" t="s">
        <v>22</v>
      </c>
      <c r="D25" s="69">
        <f>SUM(E25:BY25)</f>
        <v>0</v>
      </c>
      <c r="E25" s="120"/>
      <c r="F25" s="134"/>
      <c r="G25" s="63"/>
      <c r="H25" s="69"/>
      <c r="I25" s="150">
        <v>0</v>
      </c>
      <c r="J25" s="63"/>
      <c r="K25" s="86"/>
      <c r="L25" s="87"/>
      <c r="M25" s="62"/>
      <c r="N25" s="62"/>
      <c r="O25" s="62"/>
      <c r="P25" s="62">
        <v>0</v>
      </c>
      <c r="Q25" s="62"/>
      <c r="R25" s="86"/>
      <c r="S25" s="87"/>
      <c r="T25" s="62"/>
      <c r="U25" s="62"/>
      <c r="V25" s="62"/>
      <c r="W25" s="62"/>
      <c r="X25" s="62"/>
      <c r="Y25" s="86"/>
      <c r="Z25" s="87"/>
      <c r="AA25" s="62"/>
      <c r="AB25" s="62"/>
      <c r="AC25" s="62"/>
      <c r="AD25" s="62"/>
      <c r="AE25" s="62"/>
      <c r="AF25" s="86"/>
      <c r="AG25" s="87"/>
      <c r="AH25" s="62"/>
      <c r="AI25" s="62"/>
      <c r="AJ25" s="62"/>
      <c r="AK25" s="62"/>
      <c r="AL25" s="62"/>
      <c r="AM25" s="86"/>
      <c r="AN25" s="87"/>
      <c r="AO25" s="62"/>
      <c r="AP25" s="62"/>
      <c r="AQ25" s="62"/>
      <c r="AR25" s="62"/>
      <c r="AS25" s="62"/>
      <c r="AT25" s="86"/>
      <c r="AU25" s="87"/>
      <c r="AV25" s="62"/>
      <c r="AW25" s="62"/>
      <c r="AX25" s="62"/>
      <c r="AY25" s="62"/>
      <c r="AZ25" s="62"/>
      <c r="BA25" s="86"/>
      <c r="BB25" s="87"/>
      <c r="BC25" s="62"/>
      <c r="BD25" s="62"/>
      <c r="BE25" s="62"/>
      <c r="BF25" s="62"/>
      <c r="BG25" s="62"/>
      <c r="BH25" s="86"/>
      <c r="BI25" s="87"/>
      <c r="BJ25" s="62"/>
      <c r="BK25" s="62"/>
      <c r="BL25" s="62"/>
      <c r="BM25" s="62"/>
      <c r="BN25" s="62"/>
      <c r="BO25" s="86"/>
      <c r="BP25" s="87"/>
      <c r="BQ25" s="62"/>
      <c r="BR25" s="62"/>
      <c r="BS25" s="62"/>
      <c r="BT25" s="62"/>
      <c r="BU25" s="62"/>
      <c r="BV25" s="86"/>
      <c r="BW25" s="63"/>
      <c r="BX25" s="62"/>
      <c r="BY25" s="62"/>
    </row>
    <row r="26" spans="1:77" s="102" customFormat="1" ht="101.25" x14ac:dyDescent="0.2">
      <c r="A26" s="96"/>
      <c r="B26" s="96"/>
      <c r="C26" s="97" t="s">
        <v>23</v>
      </c>
      <c r="D26" s="98"/>
      <c r="E26" s="121"/>
      <c r="F26" s="135"/>
      <c r="G26" s="101"/>
      <c r="H26" s="98"/>
      <c r="I26" s="151"/>
      <c r="J26" s="101"/>
      <c r="K26" s="100"/>
      <c r="L26" s="95"/>
      <c r="M26" s="156" t="s">
        <v>96</v>
      </c>
      <c r="N26" s="153" t="s">
        <v>97</v>
      </c>
      <c r="O26" s="153" t="s">
        <v>98</v>
      </c>
      <c r="P26" s="153" t="s">
        <v>99</v>
      </c>
      <c r="Q26" s="99"/>
      <c r="R26" s="100"/>
      <c r="S26" s="155" t="s">
        <v>100</v>
      </c>
      <c r="T26" s="99"/>
      <c r="U26" s="99"/>
      <c r="V26" s="99"/>
      <c r="W26" s="99"/>
      <c r="X26" s="99"/>
      <c r="Y26" s="100"/>
      <c r="Z26" s="95"/>
      <c r="AA26" s="99"/>
      <c r="AB26" s="99"/>
      <c r="AC26" s="99"/>
      <c r="AD26" s="99"/>
      <c r="AE26" s="99"/>
      <c r="AF26" s="100"/>
      <c r="AG26" s="95"/>
      <c r="AH26" s="99"/>
      <c r="AI26" s="99"/>
      <c r="AJ26" s="99"/>
      <c r="AK26" s="99"/>
      <c r="AL26" s="99"/>
      <c r="AM26" s="100"/>
      <c r="AN26" s="95"/>
      <c r="AO26" s="99"/>
      <c r="AP26" s="99"/>
      <c r="AQ26" s="99"/>
      <c r="AR26" s="99"/>
      <c r="AS26" s="99"/>
      <c r="AT26" s="100"/>
      <c r="AU26" s="95"/>
      <c r="AV26" s="99"/>
      <c r="AW26" s="99"/>
      <c r="AX26" s="99"/>
      <c r="AY26" s="99"/>
      <c r="AZ26" s="99"/>
      <c r="BA26" s="100"/>
      <c r="BB26" s="95"/>
      <c r="BC26" s="99"/>
      <c r="BD26" s="99"/>
      <c r="BE26" s="99"/>
      <c r="BF26" s="99"/>
      <c r="BG26" s="99"/>
      <c r="BH26" s="100"/>
      <c r="BI26" s="95"/>
      <c r="BJ26" s="99"/>
      <c r="BK26" s="99"/>
      <c r="BL26" s="99"/>
      <c r="BM26" s="99"/>
      <c r="BN26" s="99"/>
      <c r="BO26" s="100"/>
      <c r="BP26" s="95"/>
      <c r="BQ26" s="99"/>
      <c r="BR26" s="99"/>
      <c r="BS26" s="99"/>
      <c r="BT26" s="99"/>
      <c r="BU26" s="99"/>
      <c r="BV26" s="100"/>
      <c r="BW26" s="101"/>
      <c r="BX26" s="99"/>
      <c r="BY26" s="99"/>
    </row>
    <row r="27" spans="1:77" s="3" customFormat="1" x14ac:dyDescent="0.2">
      <c r="A27" s="51" t="s">
        <v>4</v>
      </c>
      <c r="B27" s="51" t="s">
        <v>63</v>
      </c>
      <c r="C27" s="55" t="s">
        <v>18</v>
      </c>
      <c r="D27" s="68"/>
      <c r="E27" s="119"/>
      <c r="F27" s="133"/>
      <c r="G27" s="61"/>
      <c r="H27" s="68"/>
      <c r="I27" s="149"/>
      <c r="J27" s="61"/>
      <c r="K27" s="85"/>
      <c r="L27" s="84"/>
      <c r="N27" s="60"/>
      <c r="O27" s="60"/>
      <c r="P27" s="60"/>
      <c r="Q27" s="60"/>
      <c r="R27" s="85"/>
      <c r="S27" s="84"/>
      <c r="T27" s="60"/>
      <c r="U27" s="60"/>
      <c r="V27" s="60"/>
      <c r="W27" s="60"/>
      <c r="X27" s="60"/>
      <c r="Y27" s="85"/>
      <c r="Z27" s="84"/>
      <c r="AA27" s="60"/>
      <c r="AB27" s="60"/>
      <c r="AC27" s="60"/>
      <c r="AD27" s="60"/>
      <c r="AE27" s="60"/>
      <c r="AF27" s="85"/>
      <c r="AG27" s="84"/>
      <c r="AH27" s="60"/>
      <c r="AI27" s="60"/>
      <c r="AJ27" s="60"/>
      <c r="AK27" s="60"/>
      <c r="AL27" s="60"/>
      <c r="AM27" s="85"/>
      <c r="AN27" s="84"/>
      <c r="AO27" s="60"/>
      <c r="AP27" s="60"/>
      <c r="AQ27" s="60"/>
      <c r="AR27" s="60"/>
      <c r="AS27" s="60"/>
      <c r="AT27" s="85"/>
      <c r="AU27" s="84"/>
      <c r="AV27" s="60"/>
      <c r="AW27" s="60"/>
      <c r="AX27" s="60"/>
      <c r="AY27" s="60"/>
      <c r="AZ27" s="60"/>
      <c r="BA27" s="85"/>
      <c r="BB27" s="84"/>
      <c r="BC27" s="60"/>
      <c r="BD27" s="60"/>
      <c r="BE27" s="60"/>
      <c r="BF27" s="60"/>
      <c r="BG27" s="60"/>
      <c r="BH27" s="85"/>
      <c r="BI27" s="84"/>
      <c r="BJ27" s="60"/>
      <c r="BK27" s="60"/>
      <c r="BL27" s="60"/>
      <c r="BM27" s="60"/>
      <c r="BN27" s="60"/>
      <c r="BO27" s="85"/>
      <c r="BP27" s="84"/>
      <c r="BQ27" s="60"/>
      <c r="BR27" s="60"/>
      <c r="BS27" s="60"/>
      <c r="BT27" s="60"/>
      <c r="BU27" s="60"/>
      <c r="BV27" s="85"/>
      <c r="BW27" s="61"/>
      <c r="BX27" s="60"/>
      <c r="BY27" s="60"/>
    </row>
    <row r="28" spans="1:77" x14ac:dyDescent="0.2">
      <c r="A28" s="53" t="s">
        <v>91</v>
      </c>
      <c r="B28" s="154">
        <f ca="1">SUMIF($E$6:$BY$6,"&lt;"&amp;TODAY(),E28:BY28)</f>
        <v>154</v>
      </c>
      <c r="C28" s="6" t="s">
        <v>19</v>
      </c>
      <c r="D28" s="69">
        <f>SUM(E28:BY28)</f>
        <v>154</v>
      </c>
      <c r="E28" s="120">
        <v>6</v>
      </c>
      <c r="F28" s="134">
        <v>6</v>
      </c>
      <c r="G28" s="63">
        <v>7</v>
      </c>
      <c r="H28" s="69">
        <v>6</v>
      </c>
      <c r="I28" s="150">
        <v>6</v>
      </c>
      <c r="J28" s="63"/>
      <c r="K28" s="86"/>
      <c r="L28" s="87">
        <v>8</v>
      </c>
      <c r="M28" s="62">
        <v>8</v>
      </c>
      <c r="N28" s="62">
        <v>4</v>
      </c>
      <c r="O28" s="62">
        <v>4</v>
      </c>
      <c r="P28" s="62">
        <v>4</v>
      </c>
      <c r="Q28" s="62"/>
      <c r="R28" s="86"/>
      <c r="S28" s="87">
        <v>6</v>
      </c>
      <c r="T28" s="62">
        <v>5</v>
      </c>
      <c r="U28" s="62">
        <v>7</v>
      </c>
      <c r="V28" s="62">
        <v>9</v>
      </c>
      <c r="W28" s="62">
        <v>7</v>
      </c>
      <c r="X28" s="62"/>
      <c r="Y28" s="86"/>
      <c r="Z28" s="87">
        <v>4</v>
      </c>
      <c r="AA28" s="62">
        <v>2</v>
      </c>
      <c r="AB28" s="62">
        <v>3</v>
      </c>
      <c r="AC28" s="62">
        <v>2</v>
      </c>
      <c r="AD28" s="62">
        <v>1</v>
      </c>
      <c r="AE28" s="62"/>
      <c r="AF28" s="86"/>
      <c r="AG28" s="87">
        <v>3</v>
      </c>
      <c r="AH28" s="62">
        <v>3</v>
      </c>
      <c r="AI28" s="62">
        <v>2</v>
      </c>
      <c r="AJ28" s="62">
        <v>2</v>
      </c>
      <c r="AK28" s="62">
        <v>3</v>
      </c>
      <c r="AL28" s="62"/>
      <c r="AM28" s="86"/>
      <c r="AN28" s="87">
        <v>3</v>
      </c>
      <c r="AO28" s="62">
        <v>3</v>
      </c>
      <c r="AP28" s="62">
        <v>5</v>
      </c>
      <c r="AQ28" s="62">
        <v>3</v>
      </c>
      <c r="AR28" s="62">
        <v>6</v>
      </c>
      <c r="AS28" s="62"/>
      <c r="AT28" s="86"/>
      <c r="AU28" s="87">
        <v>16</v>
      </c>
      <c r="AV28" s="62"/>
      <c r="AW28" s="62"/>
      <c r="AX28" s="62"/>
      <c r="AY28" s="62"/>
      <c r="AZ28" s="62"/>
      <c r="BA28" s="86"/>
      <c r="BB28" s="87"/>
      <c r="BC28" s="62"/>
      <c r="BD28" s="62"/>
      <c r="BE28" s="62"/>
      <c r="BF28" s="62"/>
      <c r="BG28" s="62"/>
      <c r="BH28" s="86"/>
      <c r="BI28" s="87"/>
      <c r="BJ28" s="62"/>
      <c r="BK28" s="62"/>
      <c r="BL28" s="62"/>
      <c r="BM28" s="62"/>
      <c r="BN28" s="62"/>
      <c r="BO28" s="86"/>
      <c r="BP28" s="87"/>
      <c r="BQ28" s="62"/>
      <c r="BR28" s="62"/>
      <c r="BS28" s="62"/>
      <c r="BT28" s="62"/>
      <c r="BU28" s="62"/>
      <c r="BV28" s="86"/>
      <c r="BW28" s="63"/>
      <c r="BX28" s="62"/>
      <c r="BY28" s="62"/>
    </row>
    <row r="29" spans="1:77" x14ac:dyDescent="0.2">
      <c r="A29" s="53" t="s">
        <v>92</v>
      </c>
      <c r="B29" s="154">
        <f ca="1">SUMIF($E$6:$BY$6,"&lt;"&amp;TODAY(),E29:BY29)</f>
        <v>51</v>
      </c>
      <c r="C29" s="6" t="s">
        <v>20</v>
      </c>
      <c r="D29" s="69">
        <f>SUM(E29:BY29)</f>
        <v>51</v>
      </c>
      <c r="E29" s="120">
        <v>6</v>
      </c>
      <c r="F29" s="134">
        <v>6</v>
      </c>
      <c r="G29" s="63">
        <v>7</v>
      </c>
      <c r="H29" s="69">
        <v>6</v>
      </c>
      <c r="I29" s="150">
        <v>6</v>
      </c>
      <c r="J29" s="63"/>
      <c r="K29" s="86"/>
      <c r="L29" s="87">
        <v>8</v>
      </c>
      <c r="M29" s="62">
        <v>8</v>
      </c>
      <c r="N29" s="62">
        <v>4</v>
      </c>
      <c r="O29" s="62"/>
      <c r="P29" s="62"/>
      <c r="Q29" s="62"/>
      <c r="R29" s="86"/>
      <c r="S29" s="87"/>
      <c r="T29" s="62"/>
      <c r="U29" s="62"/>
      <c r="V29" s="62"/>
      <c r="W29" s="62"/>
      <c r="X29" s="62"/>
      <c r="Y29" s="86"/>
      <c r="Z29" s="87"/>
      <c r="AA29" s="62"/>
      <c r="AB29" s="62"/>
      <c r="AC29" s="62"/>
      <c r="AD29" s="62"/>
      <c r="AE29" s="62"/>
      <c r="AF29" s="86"/>
      <c r="AG29" s="87"/>
      <c r="AH29" s="62"/>
      <c r="AI29" s="62"/>
      <c r="AJ29" s="62"/>
      <c r="AK29" s="62"/>
      <c r="AL29" s="62"/>
      <c r="AM29" s="86"/>
      <c r="AN29" s="87"/>
      <c r="AO29" s="62"/>
      <c r="AP29" s="62"/>
      <c r="AQ29" s="62"/>
      <c r="AR29" s="62"/>
      <c r="AS29" s="62"/>
      <c r="AT29" s="86"/>
      <c r="AU29" s="87"/>
      <c r="AV29" s="62"/>
      <c r="AW29" s="62"/>
      <c r="AX29" s="62"/>
      <c r="AY29" s="62"/>
      <c r="AZ29" s="62"/>
      <c r="BA29" s="86"/>
      <c r="BB29" s="87"/>
      <c r="BC29" s="62"/>
      <c r="BD29" s="62"/>
      <c r="BE29" s="62"/>
      <c r="BF29" s="62"/>
      <c r="BG29" s="62"/>
      <c r="BH29" s="86"/>
      <c r="BI29" s="87"/>
      <c r="BJ29" s="62"/>
      <c r="BK29" s="62"/>
      <c r="BL29" s="62"/>
      <c r="BM29" s="62"/>
      <c r="BN29" s="62"/>
      <c r="BO29" s="86"/>
      <c r="BP29" s="87"/>
      <c r="BQ29" s="62"/>
      <c r="BR29" s="62"/>
      <c r="BS29" s="62"/>
      <c r="BT29" s="62"/>
      <c r="BU29" s="62"/>
      <c r="BV29" s="86"/>
      <c r="BW29" s="63"/>
      <c r="BX29" s="62"/>
      <c r="BY29" s="62"/>
    </row>
    <row r="30" spans="1:77" x14ac:dyDescent="0.2">
      <c r="A30" s="53" t="s">
        <v>93</v>
      </c>
      <c r="B30" s="154">
        <f ca="1">SUMIF($E$6:$BY$6,"&lt;"&amp;TODAY(),E30:BY30)</f>
        <v>5</v>
      </c>
      <c r="C30" s="6" t="s">
        <v>21</v>
      </c>
      <c r="D30" s="69">
        <f>SUM(E30:BY30)</f>
        <v>5</v>
      </c>
      <c r="E30" s="120"/>
      <c r="F30" s="134"/>
      <c r="G30" s="63"/>
      <c r="H30" s="69">
        <v>1</v>
      </c>
      <c r="I30" s="150"/>
      <c r="J30" s="63"/>
      <c r="K30" s="86"/>
      <c r="L30" s="87"/>
      <c r="M30" s="62">
        <v>1</v>
      </c>
      <c r="N30" s="62"/>
      <c r="O30" s="62"/>
      <c r="P30" s="62"/>
      <c r="Q30" s="62"/>
      <c r="R30" s="86"/>
      <c r="S30" s="87"/>
      <c r="T30" s="62">
        <v>1</v>
      </c>
      <c r="U30" s="62"/>
      <c r="V30" s="62"/>
      <c r="W30" s="62">
        <v>1</v>
      </c>
      <c r="X30" s="62"/>
      <c r="Y30" s="86"/>
      <c r="Z30" s="87"/>
      <c r="AA30" s="62"/>
      <c r="AB30" s="62"/>
      <c r="AC30" s="62"/>
      <c r="AD30" s="62"/>
      <c r="AE30" s="62"/>
      <c r="AF30" s="86"/>
      <c r="AG30" s="87"/>
      <c r="AH30" s="62"/>
      <c r="AI30" s="62"/>
      <c r="AJ30" s="62"/>
      <c r="AK30" s="62"/>
      <c r="AL30" s="62"/>
      <c r="AM30" s="86"/>
      <c r="AN30" s="87"/>
      <c r="AO30" s="62"/>
      <c r="AP30" s="62"/>
      <c r="AQ30" s="62"/>
      <c r="AR30" s="62">
        <v>1</v>
      </c>
      <c r="AS30" s="62"/>
      <c r="AT30" s="86"/>
      <c r="AU30" s="87"/>
      <c r="AV30" s="62"/>
      <c r="AW30" s="62"/>
      <c r="AX30" s="62"/>
      <c r="AY30" s="62"/>
      <c r="AZ30" s="62"/>
      <c r="BA30" s="86"/>
      <c r="BB30" s="87"/>
      <c r="BC30" s="62"/>
      <c r="BD30" s="62"/>
      <c r="BE30" s="62"/>
      <c r="BF30" s="62"/>
      <c r="BG30" s="62"/>
      <c r="BH30" s="86"/>
      <c r="BI30" s="87"/>
      <c r="BJ30" s="62"/>
      <c r="BK30" s="62"/>
      <c r="BL30" s="62"/>
      <c r="BM30" s="62"/>
      <c r="BN30" s="62"/>
      <c r="BO30" s="86"/>
      <c r="BP30" s="87"/>
      <c r="BQ30" s="62"/>
      <c r="BR30" s="62"/>
      <c r="BS30" s="62"/>
      <c r="BT30" s="62"/>
      <c r="BU30" s="62"/>
      <c r="BV30" s="86"/>
      <c r="BW30" s="63"/>
      <c r="BX30" s="62"/>
      <c r="BY30" s="62"/>
    </row>
    <row r="31" spans="1:77" x14ac:dyDescent="0.2">
      <c r="A31" s="53" t="s">
        <v>94</v>
      </c>
      <c r="B31" s="154">
        <f ca="1">SUMIF($E$6:$BY$6,"&lt;"&amp;TODAY(),E31:BY31)</f>
        <v>2</v>
      </c>
      <c r="C31" s="6" t="s">
        <v>22</v>
      </c>
      <c r="D31" s="69">
        <f>SUM(E31:BY31)</f>
        <v>2</v>
      </c>
      <c r="E31" s="120"/>
      <c r="F31" s="134"/>
      <c r="G31" s="63"/>
      <c r="H31" s="69">
        <v>1</v>
      </c>
      <c r="I31" s="150"/>
      <c r="J31" s="63"/>
      <c r="K31" s="86"/>
      <c r="L31" s="87"/>
      <c r="M31" s="62">
        <v>1</v>
      </c>
      <c r="N31" s="62"/>
      <c r="O31" s="62"/>
      <c r="P31" s="62"/>
      <c r="Q31" s="62"/>
      <c r="R31" s="86"/>
      <c r="S31" s="87"/>
      <c r="T31" s="62"/>
      <c r="U31" s="62"/>
      <c r="V31" s="62"/>
      <c r="W31" s="62"/>
      <c r="X31" s="62"/>
      <c r="Y31" s="86"/>
      <c r="Z31" s="87"/>
      <c r="AA31" s="62"/>
      <c r="AB31" s="62"/>
      <c r="AC31" s="62"/>
      <c r="AD31" s="62"/>
      <c r="AE31" s="62"/>
      <c r="AF31" s="86"/>
      <c r="AG31" s="87"/>
      <c r="AH31" s="62"/>
      <c r="AI31" s="62"/>
      <c r="AJ31" s="62"/>
      <c r="AK31" s="62"/>
      <c r="AL31" s="62"/>
      <c r="AM31" s="86"/>
      <c r="AN31" s="87"/>
      <c r="AO31" s="62"/>
      <c r="AP31" s="62"/>
      <c r="AQ31" s="62"/>
      <c r="AR31" s="62"/>
      <c r="AS31" s="62"/>
      <c r="AT31" s="86"/>
      <c r="AU31" s="87"/>
      <c r="AV31" s="62"/>
      <c r="AW31" s="62"/>
      <c r="AX31" s="62"/>
      <c r="AY31" s="62"/>
      <c r="AZ31" s="62"/>
      <c r="BA31" s="86"/>
      <c r="BB31" s="87"/>
      <c r="BC31" s="62"/>
      <c r="BD31" s="62"/>
      <c r="BE31" s="62"/>
      <c r="BF31" s="62"/>
      <c r="BG31" s="62"/>
      <c r="BH31" s="86"/>
      <c r="BI31" s="87"/>
      <c r="BJ31" s="62"/>
      <c r="BK31" s="62"/>
      <c r="BL31" s="62"/>
      <c r="BM31" s="62"/>
      <c r="BN31" s="62"/>
      <c r="BO31" s="86"/>
      <c r="BP31" s="87"/>
      <c r="BQ31" s="62"/>
      <c r="BR31" s="62"/>
      <c r="BS31" s="62"/>
      <c r="BT31" s="62"/>
      <c r="BU31" s="62"/>
      <c r="BV31" s="86"/>
      <c r="BW31" s="63"/>
      <c r="BX31" s="62"/>
      <c r="BY31" s="62"/>
    </row>
    <row r="32" spans="1:77" ht="17.45" customHeight="1" x14ac:dyDescent="0.2">
      <c r="A32" s="56"/>
      <c r="B32" s="56"/>
      <c r="C32" s="6" t="s">
        <v>23</v>
      </c>
      <c r="D32" s="69"/>
      <c r="E32" s="121"/>
      <c r="F32" s="134"/>
      <c r="G32" s="63"/>
      <c r="H32" s="69" t="s">
        <v>101</v>
      </c>
      <c r="I32" s="150" t="s">
        <v>102</v>
      </c>
      <c r="J32" s="63"/>
      <c r="K32" s="86"/>
      <c r="L32" s="150" t="s">
        <v>102</v>
      </c>
      <c r="M32" s="150" t="s">
        <v>103</v>
      </c>
      <c r="N32" s="62" t="s">
        <v>104</v>
      </c>
      <c r="O32" s="62"/>
      <c r="P32" s="62"/>
      <c r="Q32" s="62"/>
      <c r="R32" s="86"/>
      <c r="S32" s="87"/>
      <c r="T32" s="62"/>
      <c r="U32" s="62"/>
      <c r="V32" s="62"/>
      <c r="W32" s="62"/>
      <c r="X32" s="62"/>
      <c r="Y32" s="86"/>
      <c r="Z32" s="87"/>
      <c r="AA32" s="62"/>
      <c r="AB32" s="62"/>
      <c r="AC32" s="62"/>
      <c r="AD32" s="62"/>
      <c r="AE32" s="62"/>
      <c r="AF32" s="86"/>
      <c r="AG32" s="87"/>
      <c r="AH32" s="62"/>
      <c r="AI32" s="62"/>
      <c r="AJ32" s="62"/>
      <c r="AK32" s="62"/>
      <c r="AL32" s="62"/>
      <c r="AM32" s="86"/>
      <c r="AN32" s="87"/>
      <c r="AO32" s="62"/>
      <c r="AP32" s="62"/>
      <c r="AQ32" s="62"/>
      <c r="AR32" s="62"/>
      <c r="AS32" s="62"/>
      <c r="AT32" s="86"/>
      <c r="AU32" s="87"/>
      <c r="AV32" s="62"/>
      <c r="AW32" s="62"/>
      <c r="AX32" s="62"/>
      <c r="AY32" s="62"/>
      <c r="AZ32" s="62"/>
      <c r="BA32" s="86"/>
      <c r="BB32" s="87"/>
      <c r="BC32" s="62"/>
      <c r="BD32" s="62"/>
      <c r="BE32" s="62"/>
      <c r="BF32" s="62"/>
      <c r="BG32" s="62"/>
      <c r="BH32" s="86"/>
      <c r="BI32" s="87"/>
      <c r="BJ32" s="62"/>
      <c r="BK32" s="62"/>
      <c r="BL32" s="62"/>
      <c r="BM32" s="62"/>
      <c r="BN32" s="62"/>
      <c r="BO32" s="86"/>
      <c r="BP32" s="87"/>
      <c r="BQ32" s="62"/>
      <c r="BR32" s="62"/>
      <c r="BS32" s="62"/>
      <c r="BT32" s="62"/>
      <c r="BU32" s="62"/>
      <c r="BV32" s="86"/>
      <c r="BW32" s="63"/>
      <c r="BX32" s="62"/>
      <c r="BY32" s="62"/>
    </row>
    <row r="33" spans="1:77" s="3" customFormat="1" x14ac:dyDescent="0.2">
      <c r="A33" s="51" t="s">
        <v>5</v>
      </c>
      <c r="B33" s="51" t="s">
        <v>64</v>
      </c>
      <c r="C33" s="55" t="s">
        <v>18</v>
      </c>
      <c r="D33" s="68"/>
      <c r="E33" s="119"/>
      <c r="F33" s="133"/>
      <c r="G33" s="61"/>
      <c r="H33" s="68"/>
      <c r="I33" s="149"/>
      <c r="J33" s="61"/>
      <c r="K33" s="85"/>
      <c r="L33" s="84"/>
      <c r="M33" s="60"/>
      <c r="N33" s="60"/>
      <c r="O33" s="60"/>
      <c r="P33" s="60"/>
      <c r="Q33" s="60"/>
      <c r="R33" s="85"/>
      <c r="S33" s="84"/>
      <c r="T33" s="60"/>
      <c r="U33" s="60"/>
      <c r="V33" s="60"/>
      <c r="W33" s="60"/>
      <c r="X33" s="60"/>
      <c r="Y33" s="85"/>
      <c r="Z33" s="84"/>
      <c r="AA33" s="60"/>
      <c r="AB33" s="60"/>
      <c r="AC33" s="60"/>
      <c r="AD33" s="60"/>
      <c r="AE33" s="60"/>
      <c r="AF33" s="85"/>
      <c r="AG33" s="84"/>
      <c r="AH33" s="60"/>
      <c r="AI33" s="60"/>
      <c r="AJ33" s="60"/>
      <c r="AK33" s="60"/>
      <c r="AL33" s="60"/>
      <c r="AM33" s="85"/>
      <c r="AN33" s="84"/>
      <c r="AO33" s="60"/>
      <c r="AP33" s="60"/>
      <c r="AQ33" s="60"/>
      <c r="AR33" s="60"/>
      <c r="AS33" s="60"/>
      <c r="AT33" s="85"/>
      <c r="AU33" s="84"/>
      <c r="AV33" s="60"/>
      <c r="AW33" s="60"/>
      <c r="AX33" s="60"/>
      <c r="AY33" s="60"/>
      <c r="AZ33" s="60"/>
      <c r="BA33" s="85"/>
      <c r="BB33" s="84"/>
      <c r="BC33" s="60"/>
      <c r="BD33" s="60"/>
      <c r="BE33" s="60"/>
      <c r="BF33" s="60"/>
      <c r="BG33" s="60"/>
      <c r="BH33" s="85"/>
      <c r="BI33" s="84"/>
      <c r="BJ33" s="60"/>
      <c r="BK33" s="60"/>
      <c r="BL33" s="60"/>
      <c r="BM33" s="60"/>
      <c r="BN33" s="60"/>
      <c r="BO33" s="85"/>
      <c r="BP33" s="84"/>
      <c r="BQ33" s="60"/>
      <c r="BR33" s="60"/>
      <c r="BS33" s="60"/>
      <c r="BT33" s="60"/>
      <c r="BU33" s="60"/>
      <c r="BV33" s="85"/>
      <c r="BW33" s="61"/>
      <c r="BX33" s="60"/>
      <c r="BY33" s="60"/>
    </row>
    <row r="34" spans="1:77" x14ac:dyDescent="0.2">
      <c r="A34" s="53" t="s">
        <v>91</v>
      </c>
      <c r="B34" s="154">
        <f ca="1">SUMIF($E$6:$BY$6,"&lt;"&amp;TODAY(),E34:BY34)</f>
        <v>75</v>
      </c>
      <c r="C34" s="6" t="s">
        <v>19</v>
      </c>
      <c r="D34" s="69">
        <f>SUM(E34:BY34)</f>
        <v>75</v>
      </c>
      <c r="E34" s="120">
        <v>0</v>
      </c>
      <c r="F34" s="134">
        <v>0</v>
      </c>
      <c r="G34" s="63">
        <v>0</v>
      </c>
      <c r="H34" s="69">
        <v>3</v>
      </c>
      <c r="I34" s="150">
        <v>4</v>
      </c>
      <c r="J34" s="63">
        <v>4</v>
      </c>
      <c r="K34" s="86">
        <v>4</v>
      </c>
      <c r="L34" s="87">
        <v>4</v>
      </c>
      <c r="M34" s="62">
        <f>4+1+4</f>
        <v>9</v>
      </c>
      <c r="N34" s="62">
        <f>4+4+3</f>
        <v>11</v>
      </c>
      <c r="O34" s="62">
        <f>4+4+4</f>
        <v>12</v>
      </c>
      <c r="P34" s="62">
        <f>4+4+4</f>
        <v>12</v>
      </c>
      <c r="Q34" s="62">
        <f>4+5+3</f>
        <v>12</v>
      </c>
      <c r="R34" s="86"/>
      <c r="S34" s="87"/>
      <c r="T34" s="62"/>
      <c r="U34" s="62"/>
      <c r="V34" s="62"/>
      <c r="W34" s="62"/>
      <c r="X34" s="62"/>
      <c r="Y34" s="86"/>
      <c r="Z34" s="87"/>
      <c r="AA34" s="62"/>
      <c r="AB34" s="62"/>
      <c r="AC34" s="62"/>
      <c r="AD34" s="62"/>
      <c r="AE34" s="62"/>
      <c r="AF34" s="86"/>
      <c r="AG34" s="87"/>
      <c r="AH34" s="62"/>
      <c r="AI34" s="62"/>
      <c r="AJ34" s="62"/>
      <c r="AK34" s="62"/>
      <c r="AL34" s="62"/>
      <c r="AM34" s="86"/>
      <c r="AN34" s="87"/>
      <c r="AO34" s="62"/>
      <c r="AP34" s="62"/>
      <c r="AQ34" s="62"/>
      <c r="AR34" s="62"/>
      <c r="AS34" s="62"/>
      <c r="AT34" s="86"/>
      <c r="AU34" s="87"/>
      <c r="AV34" s="62"/>
      <c r="AW34" s="62"/>
      <c r="AX34" s="62"/>
      <c r="AY34" s="62"/>
      <c r="AZ34" s="62"/>
      <c r="BA34" s="86"/>
      <c r="BB34" s="87"/>
      <c r="BC34" s="62"/>
      <c r="BD34" s="62"/>
      <c r="BE34" s="62"/>
      <c r="BF34" s="62"/>
      <c r="BG34" s="62"/>
      <c r="BH34" s="86"/>
      <c r="BI34" s="87"/>
      <c r="BJ34" s="62"/>
      <c r="BK34" s="62"/>
      <c r="BL34" s="62"/>
      <c r="BM34" s="62"/>
      <c r="BN34" s="62"/>
      <c r="BO34" s="86"/>
      <c r="BP34" s="87"/>
      <c r="BQ34" s="62"/>
      <c r="BR34" s="62"/>
      <c r="BS34" s="62"/>
      <c r="BT34" s="62"/>
      <c r="BU34" s="62"/>
      <c r="BV34" s="86"/>
      <c r="BW34" s="63"/>
      <c r="BX34" s="62"/>
      <c r="BY34" s="62"/>
    </row>
    <row r="35" spans="1:77" x14ac:dyDescent="0.2">
      <c r="A35" s="53" t="s">
        <v>92</v>
      </c>
      <c r="B35" s="154">
        <f ca="1">SUMIF($E$6:$BY$6,"&lt;"&amp;TODAY(),E35:BY35)</f>
        <v>39</v>
      </c>
      <c r="C35" s="6" t="s">
        <v>20</v>
      </c>
      <c r="D35" s="69">
        <f>SUM(E35:BY35)</f>
        <v>39</v>
      </c>
      <c r="E35" s="120"/>
      <c r="F35" s="134"/>
      <c r="G35" s="63"/>
      <c r="H35" s="69">
        <v>3</v>
      </c>
      <c r="I35" s="150">
        <v>4</v>
      </c>
      <c r="J35" s="63">
        <v>4</v>
      </c>
      <c r="K35" s="86">
        <v>4</v>
      </c>
      <c r="L35" s="87">
        <v>4</v>
      </c>
      <c r="M35" s="62">
        <v>9</v>
      </c>
      <c r="N35" s="62">
        <v>11</v>
      </c>
      <c r="O35" s="62"/>
      <c r="P35" s="62"/>
      <c r="Q35" s="62"/>
      <c r="R35" s="86"/>
      <c r="S35" s="87"/>
      <c r="T35" s="62"/>
      <c r="U35" s="62"/>
      <c r="V35" s="62"/>
      <c r="W35" s="62"/>
      <c r="X35" s="62"/>
      <c r="Y35" s="86"/>
      <c r="Z35" s="87"/>
      <c r="AA35" s="62"/>
      <c r="AB35" s="62"/>
      <c r="AC35" s="62"/>
      <c r="AD35" s="62"/>
      <c r="AE35" s="62"/>
      <c r="AF35" s="86"/>
      <c r="AG35" s="87"/>
      <c r="AH35" s="62"/>
      <c r="AI35" s="62"/>
      <c r="AJ35" s="62"/>
      <c r="AK35" s="62"/>
      <c r="AL35" s="62"/>
      <c r="AM35" s="86"/>
      <c r="AN35" s="87"/>
      <c r="AO35" s="62"/>
      <c r="AP35" s="62"/>
      <c r="AQ35" s="62"/>
      <c r="AR35" s="62"/>
      <c r="AS35" s="62"/>
      <c r="AT35" s="86"/>
      <c r="AU35" s="87"/>
      <c r="AV35" s="62"/>
      <c r="AW35" s="62"/>
      <c r="AX35" s="62"/>
      <c r="AY35" s="62"/>
      <c r="AZ35" s="62"/>
      <c r="BA35" s="86"/>
      <c r="BB35" s="87"/>
      <c r="BC35" s="62"/>
      <c r="BD35" s="62"/>
      <c r="BE35" s="62"/>
      <c r="BF35" s="62"/>
      <c r="BG35" s="62"/>
      <c r="BH35" s="86"/>
      <c r="BI35" s="87"/>
      <c r="BJ35" s="62"/>
      <c r="BK35" s="62"/>
      <c r="BL35" s="62"/>
      <c r="BM35" s="62"/>
      <c r="BN35" s="62"/>
      <c r="BO35" s="86"/>
      <c r="BP35" s="87"/>
      <c r="BQ35" s="62"/>
      <c r="BR35" s="62"/>
      <c r="BS35" s="62"/>
      <c r="BT35" s="62"/>
      <c r="BU35" s="62"/>
      <c r="BV35" s="86"/>
      <c r="BW35" s="63"/>
      <c r="BX35" s="62"/>
      <c r="BY35" s="62"/>
    </row>
    <row r="36" spans="1:77" x14ac:dyDescent="0.2">
      <c r="A36" s="53" t="s">
        <v>93</v>
      </c>
      <c r="B36" s="154">
        <f ca="1">SUMIF($E$6:$BY$6,"&lt;"&amp;TODAY(),E36:BY36)</f>
        <v>0</v>
      </c>
      <c r="C36" s="6" t="s">
        <v>21</v>
      </c>
      <c r="D36" s="69">
        <f>SUM(E36:BY36)</f>
        <v>0</v>
      </c>
      <c r="E36" s="120"/>
      <c r="F36" s="134"/>
      <c r="G36" s="63"/>
      <c r="H36" s="69">
        <v>0</v>
      </c>
      <c r="I36" s="150">
        <v>0</v>
      </c>
      <c r="J36" s="63">
        <v>0</v>
      </c>
      <c r="K36" s="86">
        <v>0</v>
      </c>
      <c r="L36" s="87">
        <v>0</v>
      </c>
      <c r="M36" s="87">
        <v>0</v>
      </c>
      <c r="N36" s="62"/>
      <c r="O36" s="62"/>
      <c r="P36" s="62"/>
      <c r="Q36" s="62"/>
      <c r="R36" s="86"/>
      <c r="S36" s="87"/>
      <c r="T36" s="62"/>
      <c r="U36" s="62"/>
      <c r="V36" s="62"/>
      <c r="W36" s="62"/>
      <c r="X36" s="62"/>
      <c r="Y36" s="86"/>
      <c r="Z36" s="87"/>
      <c r="AA36" s="62"/>
      <c r="AB36" s="62"/>
      <c r="AC36" s="62"/>
      <c r="AD36" s="62"/>
      <c r="AE36" s="62"/>
      <c r="AF36" s="86"/>
      <c r="AG36" s="87"/>
      <c r="AH36" s="62"/>
      <c r="AI36" s="62"/>
      <c r="AJ36" s="62"/>
      <c r="AK36" s="62"/>
      <c r="AL36" s="62"/>
      <c r="AM36" s="86"/>
      <c r="AN36" s="87"/>
      <c r="AO36" s="62"/>
      <c r="AP36" s="62"/>
      <c r="AQ36" s="62"/>
      <c r="AR36" s="62"/>
      <c r="AS36" s="62"/>
      <c r="AT36" s="86"/>
      <c r="AU36" s="87"/>
      <c r="AV36" s="62"/>
      <c r="AW36" s="62"/>
      <c r="AX36" s="62"/>
      <c r="AY36" s="62"/>
      <c r="AZ36" s="62"/>
      <c r="BA36" s="86"/>
      <c r="BB36" s="87"/>
      <c r="BC36" s="62"/>
      <c r="BD36" s="62"/>
      <c r="BE36" s="62"/>
      <c r="BF36" s="62"/>
      <c r="BG36" s="62"/>
      <c r="BH36" s="86"/>
      <c r="BI36" s="87"/>
      <c r="BJ36" s="62"/>
      <c r="BK36" s="62"/>
      <c r="BL36" s="62"/>
      <c r="BM36" s="62"/>
      <c r="BN36" s="62"/>
      <c r="BO36" s="86"/>
      <c r="BP36" s="87"/>
      <c r="BQ36" s="62"/>
      <c r="BR36" s="62"/>
      <c r="BS36" s="62"/>
      <c r="BT36" s="62"/>
      <c r="BU36" s="62"/>
      <c r="BV36" s="86"/>
      <c r="BW36" s="63"/>
      <c r="BX36" s="62"/>
      <c r="BY36" s="62"/>
    </row>
    <row r="37" spans="1:77" x14ac:dyDescent="0.2">
      <c r="A37" s="53" t="s">
        <v>94</v>
      </c>
      <c r="B37" s="154">
        <f ca="1">SUMIF($E$6:$BY$6,"&lt;"&amp;TODAY(),E37:BY37)</f>
        <v>0</v>
      </c>
      <c r="C37" s="6" t="s">
        <v>22</v>
      </c>
      <c r="D37" s="69">
        <f>SUM(E37:BY37)</f>
        <v>0</v>
      </c>
      <c r="E37" s="120"/>
      <c r="F37" s="134"/>
      <c r="G37" s="63"/>
      <c r="H37" s="69">
        <v>0</v>
      </c>
      <c r="I37" s="150">
        <v>0</v>
      </c>
      <c r="J37" s="63">
        <v>0</v>
      </c>
      <c r="K37" s="86">
        <v>0</v>
      </c>
      <c r="L37" s="87">
        <v>0</v>
      </c>
      <c r="M37" s="87">
        <v>0</v>
      </c>
      <c r="N37" s="62"/>
      <c r="O37" s="62"/>
      <c r="P37" s="62"/>
      <c r="Q37" s="62"/>
      <c r="R37" s="86"/>
      <c r="S37" s="87"/>
      <c r="T37" s="62"/>
      <c r="U37" s="62"/>
      <c r="V37" s="62"/>
      <c r="W37" s="62"/>
      <c r="X37" s="62"/>
      <c r="Y37" s="86"/>
      <c r="Z37" s="87"/>
      <c r="AA37" s="62"/>
      <c r="AB37" s="62"/>
      <c r="AC37" s="62"/>
      <c r="AD37" s="62"/>
      <c r="AE37" s="62"/>
      <c r="AF37" s="86"/>
      <c r="AG37" s="87"/>
      <c r="AH37" s="62"/>
      <c r="AI37" s="62"/>
      <c r="AJ37" s="62"/>
      <c r="AK37" s="62"/>
      <c r="AL37" s="62"/>
      <c r="AM37" s="86"/>
      <c r="AN37" s="87"/>
      <c r="AO37" s="62"/>
      <c r="AP37" s="62"/>
      <c r="AQ37" s="62"/>
      <c r="AR37" s="62"/>
      <c r="AS37" s="62"/>
      <c r="AT37" s="86"/>
      <c r="AU37" s="87"/>
      <c r="AV37" s="62"/>
      <c r="AW37" s="62"/>
      <c r="AX37" s="62"/>
      <c r="AY37" s="62"/>
      <c r="AZ37" s="62"/>
      <c r="BA37" s="86"/>
      <c r="BB37" s="87"/>
      <c r="BC37" s="62"/>
      <c r="BD37" s="62"/>
      <c r="BE37" s="62"/>
      <c r="BF37" s="62"/>
      <c r="BG37" s="62"/>
      <c r="BH37" s="86"/>
      <c r="BI37" s="87"/>
      <c r="BJ37" s="62"/>
      <c r="BK37" s="62"/>
      <c r="BL37" s="62"/>
      <c r="BM37" s="62"/>
      <c r="BN37" s="62"/>
      <c r="BO37" s="86"/>
      <c r="BP37" s="87"/>
      <c r="BQ37" s="62"/>
      <c r="BR37" s="62"/>
      <c r="BS37" s="62"/>
      <c r="BT37" s="62"/>
      <c r="BU37" s="62"/>
      <c r="BV37" s="86"/>
      <c r="BW37" s="63"/>
      <c r="BX37" s="62"/>
      <c r="BY37" s="62"/>
    </row>
    <row r="38" spans="1:77" s="102" customFormat="1" x14ac:dyDescent="0.2">
      <c r="A38" s="96"/>
      <c r="B38" s="96"/>
      <c r="C38" s="97" t="s">
        <v>23</v>
      </c>
      <c r="D38" s="98"/>
      <c r="E38" s="121"/>
      <c r="F38" s="135"/>
      <c r="G38" s="101"/>
      <c r="H38" s="98"/>
      <c r="I38" s="151"/>
      <c r="J38" s="101"/>
      <c r="K38" s="100"/>
      <c r="L38" s="95"/>
      <c r="M38" s="99"/>
      <c r="N38" s="99"/>
      <c r="O38" s="99"/>
      <c r="P38" s="99"/>
      <c r="Q38" s="99"/>
      <c r="R38" s="100"/>
      <c r="S38" s="95"/>
      <c r="T38" s="99"/>
      <c r="U38" s="99"/>
      <c r="V38" s="99"/>
      <c r="W38" s="99"/>
      <c r="X38" s="99"/>
      <c r="Y38" s="100"/>
      <c r="Z38" s="95"/>
      <c r="AA38" s="99"/>
      <c r="AB38" s="99"/>
      <c r="AC38" s="99"/>
      <c r="AD38" s="99"/>
      <c r="AE38" s="99"/>
      <c r="AF38" s="100"/>
      <c r="AG38" s="95"/>
      <c r="AH38" s="99"/>
      <c r="AI38" s="99"/>
      <c r="AJ38" s="99"/>
      <c r="AK38" s="99"/>
      <c r="AL38" s="99"/>
      <c r="AM38" s="100"/>
      <c r="AN38" s="95"/>
      <c r="AO38" s="99"/>
      <c r="AP38" s="99"/>
      <c r="AQ38" s="99"/>
      <c r="AR38" s="99"/>
      <c r="AS38" s="99"/>
      <c r="AT38" s="100"/>
      <c r="AU38" s="95"/>
      <c r="AV38" s="99"/>
      <c r="AW38" s="99"/>
      <c r="AX38" s="99"/>
      <c r="AY38" s="99"/>
      <c r="AZ38" s="99"/>
      <c r="BA38" s="100"/>
      <c r="BB38" s="95"/>
      <c r="BC38" s="99"/>
      <c r="BD38" s="99"/>
      <c r="BE38" s="99"/>
      <c r="BF38" s="99"/>
      <c r="BG38" s="99"/>
      <c r="BH38" s="100"/>
      <c r="BI38" s="95"/>
      <c r="BJ38" s="99"/>
      <c r="BK38" s="99"/>
      <c r="BL38" s="99"/>
      <c r="BM38" s="99"/>
      <c r="BN38" s="99"/>
      <c r="BO38" s="100"/>
      <c r="BP38" s="95"/>
      <c r="BQ38" s="99"/>
      <c r="BR38" s="99"/>
      <c r="BS38" s="99"/>
      <c r="BT38" s="99"/>
      <c r="BU38" s="99"/>
      <c r="BV38" s="100"/>
      <c r="BW38" s="101"/>
      <c r="BX38" s="99"/>
      <c r="BY38" s="99"/>
    </row>
    <row r="39" spans="1:77" s="3" customFormat="1" x14ac:dyDescent="0.2">
      <c r="A39" s="51" t="s">
        <v>6</v>
      </c>
      <c r="B39" s="51" t="s">
        <v>65</v>
      </c>
      <c r="C39" s="55" t="s">
        <v>18</v>
      </c>
      <c r="D39" s="68"/>
      <c r="E39" s="119"/>
      <c r="F39" s="133"/>
      <c r="G39" s="61"/>
      <c r="H39" s="68"/>
      <c r="I39" s="149"/>
      <c r="J39" s="61"/>
      <c r="K39" s="85"/>
      <c r="L39" s="84"/>
      <c r="M39" s="60"/>
      <c r="N39" s="60"/>
      <c r="O39" s="60"/>
      <c r="P39" s="60"/>
      <c r="Q39" s="60"/>
      <c r="R39" s="85"/>
      <c r="S39" s="84"/>
      <c r="T39" s="60"/>
      <c r="U39" s="60"/>
      <c r="V39" s="60"/>
      <c r="W39" s="60"/>
      <c r="X39" s="60"/>
      <c r="Y39" s="85"/>
      <c r="Z39" s="84"/>
      <c r="AA39" s="60"/>
      <c r="AB39" s="60"/>
      <c r="AC39" s="60"/>
      <c r="AD39" s="60"/>
      <c r="AE39" s="60"/>
      <c r="AF39" s="85"/>
      <c r="AG39" s="84"/>
      <c r="AH39" s="60"/>
      <c r="AI39" s="60"/>
      <c r="AJ39" s="60"/>
      <c r="AK39" s="60"/>
      <c r="AL39" s="60"/>
      <c r="AM39" s="85"/>
      <c r="AN39" s="84"/>
      <c r="AO39" s="60"/>
      <c r="AP39" s="60"/>
      <c r="AQ39" s="60"/>
      <c r="AR39" s="60"/>
      <c r="AS39" s="60"/>
      <c r="AT39" s="85"/>
      <c r="AU39" s="84"/>
      <c r="AV39" s="60"/>
      <c r="AW39" s="60"/>
      <c r="AX39" s="60"/>
      <c r="AY39" s="60"/>
      <c r="AZ39" s="60"/>
      <c r="BA39" s="85"/>
      <c r="BB39" s="84"/>
      <c r="BC39" s="60"/>
      <c r="BD39" s="60"/>
      <c r="BE39" s="60"/>
      <c r="BF39" s="60"/>
      <c r="BG39" s="60"/>
      <c r="BH39" s="85"/>
      <c r="BI39" s="84"/>
      <c r="BJ39" s="60"/>
      <c r="BK39" s="60"/>
      <c r="BL39" s="60"/>
      <c r="BM39" s="60"/>
      <c r="BN39" s="60"/>
      <c r="BO39" s="85"/>
      <c r="BP39" s="84"/>
      <c r="BQ39" s="60"/>
      <c r="BR39" s="60"/>
      <c r="BS39" s="60"/>
      <c r="BT39" s="60"/>
      <c r="BU39" s="60"/>
      <c r="BV39" s="85"/>
      <c r="BW39" s="61"/>
      <c r="BX39" s="60"/>
      <c r="BY39" s="60"/>
    </row>
    <row r="40" spans="1:77" x14ac:dyDescent="0.2">
      <c r="A40" s="53" t="s">
        <v>91</v>
      </c>
      <c r="B40" s="154">
        <f ca="1">SUMIF($E$6:$BY$6,"&lt;"&amp;TODAY(),E40:BY40)</f>
        <v>392</v>
      </c>
      <c r="C40" s="6" t="s">
        <v>19</v>
      </c>
      <c r="D40" s="69">
        <f>SUM(E40:BY40)</f>
        <v>392</v>
      </c>
      <c r="E40" s="120">
        <v>21</v>
      </c>
      <c r="F40" s="134">
        <v>15</v>
      </c>
      <c r="G40" s="63">
        <v>7</v>
      </c>
      <c r="H40" s="69">
        <v>0</v>
      </c>
      <c r="I40" s="150">
        <v>7</v>
      </c>
      <c r="J40" s="63"/>
      <c r="K40" s="86"/>
      <c r="L40" s="87">
        <v>6</v>
      </c>
      <c r="M40" s="62">
        <v>8</v>
      </c>
      <c r="N40" s="62">
        <v>8</v>
      </c>
      <c r="O40" s="62">
        <v>7</v>
      </c>
      <c r="P40" s="62">
        <v>10</v>
      </c>
      <c r="Q40" s="62"/>
      <c r="R40" s="86"/>
      <c r="S40" s="87">
        <v>39</v>
      </c>
      <c r="T40" s="62">
        <v>12</v>
      </c>
      <c r="U40" s="62">
        <v>10</v>
      </c>
      <c r="V40" s="62">
        <v>8</v>
      </c>
      <c r="W40" s="62">
        <v>13</v>
      </c>
      <c r="X40" s="62"/>
      <c r="Y40" s="86"/>
      <c r="Z40" s="87">
        <v>20</v>
      </c>
      <c r="AA40" s="62">
        <v>13</v>
      </c>
      <c r="AB40" s="62">
        <v>12</v>
      </c>
      <c r="AC40" s="62">
        <v>11</v>
      </c>
      <c r="AD40" s="62">
        <v>8</v>
      </c>
      <c r="AE40" s="62"/>
      <c r="AF40" s="86"/>
      <c r="AG40" s="87">
        <v>11</v>
      </c>
      <c r="AH40" s="62">
        <v>13</v>
      </c>
      <c r="AI40" s="62">
        <v>32</v>
      </c>
      <c r="AJ40" s="62">
        <v>25</v>
      </c>
      <c r="AK40" s="62">
        <f>16+8</f>
        <v>24</v>
      </c>
      <c r="AL40" s="62"/>
      <c r="AM40" s="86"/>
      <c r="AN40" s="87">
        <f>11+6</f>
        <v>17</v>
      </c>
      <c r="AO40" s="62">
        <v>5</v>
      </c>
      <c r="AP40" s="62">
        <v>2</v>
      </c>
      <c r="AQ40" s="62"/>
      <c r="AR40" s="62"/>
      <c r="AS40" s="62"/>
      <c r="AT40" s="86"/>
      <c r="AU40" s="87">
        <v>28</v>
      </c>
      <c r="AV40" s="62"/>
      <c r="AW40" s="62"/>
      <c r="AX40" s="62"/>
      <c r="AY40" s="62"/>
      <c r="AZ40" s="62"/>
      <c r="BA40" s="86"/>
      <c r="BB40" s="87"/>
      <c r="BC40" s="62"/>
      <c r="BD40" s="62"/>
      <c r="BE40" s="62"/>
      <c r="BF40" s="62"/>
      <c r="BG40" s="62"/>
      <c r="BH40" s="86"/>
      <c r="BI40" s="87"/>
      <c r="BJ40" s="62"/>
      <c r="BK40" s="62"/>
      <c r="BL40" s="62"/>
      <c r="BM40" s="62"/>
      <c r="BN40" s="62"/>
      <c r="BO40" s="86"/>
      <c r="BP40" s="87"/>
      <c r="BQ40" s="62"/>
      <c r="BR40" s="62"/>
      <c r="BS40" s="62"/>
      <c r="BT40" s="62"/>
      <c r="BU40" s="62"/>
      <c r="BV40" s="86"/>
      <c r="BW40" s="63"/>
      <c r="BX40" s="62"/>
      <c r="BY40" s="62"/>
    </row>
    <row r="41" spans="1:77" x14ac:dyDescent="0.2">
      <c r="A41" s="53" t="s">
        <v>92</v>
      </c>
      <c r="B41" s="154">
        <f ca="1">SUMIF($E$6:$BY$6,"&lt;"&amp;TODAY(),E41:BY41)</f>
        <v>107</v>
      </c>
      <c r="C41" s="6" t="s">
        <v>20</v>
      </c>
      <c r="D41" s="69">
        <f>SUM(E41:BY41)</f>
        <v>107</v>
      </c>
      <c r="E41" s="120">
        <v>21</v>
      </c>
      <c r="F41" s="134">
        <v>15</v>
      </c>
      <c r="G41" s="63">
        <f>24+15</f>
        <v>39</v>
      </c>
      <c r="H41" s="69">
        <v>16</v>
      </c>
      <c r="I41" s="150">
        <v>4</v>
      </c>
      <c r="J41" s="63"/>
      <c r="K41" s="86"/>
      <c r="L41" s="87">
        <v>10</v>
      </c>
      <c r="M41" s="62">
        <v>2</v>
      </c>
      <c r="N41" s="62"/>
      <c r="O41" s="62"/>
      <c r="P41" s="62"/>
      <c r="Q41" s="62"/>
      <c r="R41" s="86"/>
      <c r="S41" s="87"/>
      <c r="T41" s="62"/>
      <c r="U41" s="62"/>
      <c r="V41" s="62"/>
      <c r="W41" s="62"/>
      <c r="X41" s="62"/>
      <c r="Y41" s="86"/>
      <c r="Z41" s="87"/>
      <c r="AA41" s="62"/>
      <c r="AB41" s="62"/>
      <c r="AC41" s="62"/>
      <c r="AD41" s="62"/>
      <c r="AE41" s="62"/>
      <c r="AF41" s="86"/>
      <c r="AG41" s="87"/>
      <c r="AH41" s="62"/>
      <c r="AI41" s="62"/>
      <c r="AJ41" s="62"/>
      <c r="AK41" s="62"/>
      <c r="AL41" s="62"/>
      <c r="AM41" s="86"/>
      <c r="AN41" s="87"/>
      <c r="AO41" s="62"/>
      <c r="AP41" s="62"/>
      <c r="AQ41" s="62"/>
      <c r="AR41" s="62"/>
      <c r="AS41" s="62"/>
      <c r="AT41" s="86"/>
      <c r="AU41" s="87"/>
      <c r="AV41" s="62"/>
      <c r="AW41" s="62"/>
      <c r="AX41" s="62"/>
      <c r="AY41" s="62"/>
      <c r="AZ41" s="62"/>
      <c r="BA41" s="86"/>
      <c r="BB41" s="87"/>
      <c r="BC41" s="62"/>
      <c r="BD41" s="62"/>
      <c r="BE41" s="62"/>
      <c r="BF41" s="62"/>
      <c r="BG41" s="62"/>
      <c r="BH41" s="86"/>
      <c r="BI41" s="87"/>
      <c r="BJ41" s="62"/>
      <c r="BK41" s="62"/>
      <c r="BL41" s="62"/>
      <c r="BM41" s="62"/>
      <c r="BN41" s="62"/>
      <c r="BO41" s="86"/>
      <c r="BP41" s="87"/>
      <c r="BQ41" s="62"/>
      <c r="BR41" s="62"/>
      <c r="BS41" s="62"/>
      <c r="BT41" s="62"/>
      <c r="BU41" s="62"/>
      <c r="BV41" s="86"/>
      <c r="BW41" s="63"/>
      <c r="BX41" s="62"/>
      <c r="BY41" s="62"/>
    </row>
    <row r="42" spans="1:77" x14ac:dyDescent="0.2">
      <c r="A42" s="53" t="s">
        <v>93</v>
      </c>
      <c r="B42" s="154">
        <f ca="1">SUMIF($E$6:$BY$6,"&lt;"&amp;TODAY(),E42:BY42)</f>
        <v>8</v>
      </c>
      <c r="C42" s="6" t="s">
        <v>21</v>
      </c>
      <c r="D42" s="69">
        <f>SUM(E42:BY42)</f>
        <v>8</v>
      </c>
      <c r="E42" s="120"/>
      <c r="F42" s="134"/>
      <c r="G42" s="63"/>
      <c r="H42" s="69"/>
      <c r="I42" s="150"/>
      <c r="J42" s="63"/>
      <c r="K42" s="86"/>
      <c r="L42" s="87"/>
      <c r="M42" s="62"/>
      <c r="N42" s="62"/>
      <c r="O42" s="62"/>
      <c r="P42" s="62"/>
      <c r="Q42" s="62"/>
      <c r="R42" s="86"/>
      <c r="S42" s="87"/>
      <c r="T42" s="62"/>
      <c r="U42" s="62"/>
      <c r="V42" s="62"/>
      <c r="W42" s="62"/>
      <c r="X42" s="62"/>
      <c r="Y42" s="86"/>
      <c r="Z42" s="87"/>
      <c r="AA42" s="62"/>
      <c r="AB42" s="62"/>
      <c r="AC42" s="62"/>
      <c r="AD42" s="62"/>
      <c r="AE42" s="62"/>
      <c r="AF42" s="86"/>
      <c r="AG42" s="87"/>
      <c r="AH42" s="62"/>
      <c r="AI42" s="62"/>
      <c r="AJ42" s="62"/>
      <c r="AK42" s="62"/>
      <c r="AL42" s="62"/>
      <c r="AM42" s="86"/>
      <c r="AN42" s="87">
        <f>4+2</f>
        <v>6</v>
      </c>
      <c r="AO42" s="62">
        <v>1</v>
      </c>
      <c r="AP42" s="62">
        <v>1</v>
      </c>
      <c r="AQ42" s="62"/>
      <c r="AR42" s="62"/>
      <c r="AS42" s="62"/>
      <c r="AT42" s="86"/>
      <c r="AU42" s="87"/>
      <c r="AV42" s="62"/>
      <c r="AW42" s="62"/>
      <c r="AX42" s="62"/>
      <c r="AY42" s="62"/>
      <c r="AZ42" s="62"/>
      <c r="BA42" s="86"/>
      <c r="BB42" s="87"/>
      <c r="BC42" s="62"/>
      <c r="BD42" s="62"/>
      <c r="BE42" s="62"/>
      <c r="BF42" s="62"/>
      <c r="BG42" s="62"/>
      <c r="BH42" s="86"/>
      <c r="BI42" s="87"/>
      <c r="BJ42" s="62"/>
      <c r="BK42" s="62"/>
      <c r="BL42" s="62"/>
      <c r="BM42" s="62"/>
      <c r="BN42" s="62"/>
      <c r="BO42" s="86"/>
      <c r="BP42" s="87"/>
      <c r="BQ42" s="62"/>
      <c r="BR42" s="62"/>
      <c r="BS42" s="62"/>
      <c r="BT42" s="62"/>
      <c r="BU42" s="62"/>
      <c r="BV42" s="86"/>
      <c r="BW42" s="63"/>
      <c r="BX42" s="62"/>
      <c r="BY42" s="62"/>
    </row>
    <row r="43" spans="1:77" x14ac:dyDescent="0.2">
      <c r="A43" s="53" t="s">
        <v>94</v>
      </c>
      <c r="B43" s="154">
        <f ca="1">SUMIF($E$6:$BY$6,"&lt;"&amp;TODAY(),E43:BY43)</f>
        <v>0</v>
      </c>
      <c r="C43" s="6" t="s">
        <v>22</v>
      </c>
      <c r="D43" s="69">
        <f>SUM(E43:BY43)</f>
        <v>0</v>
      </c>
      <c r="E43" s="120"/>
      <c r="F43" s="134"/>
      <c r="G43" s="63"/>
      <c r="H43" s="69"/>
      <c r="I43" s="150">
        <v>0</v>
      </c>
      <c r="J43" s="63"/>
      <c r="K43" s="86"/>
      <c r="L43" s="87"/>
      <c r="M43" s="62"/>
      <c r="N43" s="62"/>
      <c r="O43" s="62"/>
      <c r="P43" s="62"/>
      <c r="Q43" s="62"/>
      <c r="R43" s="86"/>
      <c r="S43" s="87"/>
      <c r="T43" s="62"/>
      <c r="U43" s="62"/>
      <c r="V43" s="62"/>
      <c r="W43" s="62"/>
      <c r="X43" s="62"/>
      <c r="Y43" s="86"/>
      <c r="Z43" s="87"/>
      <c r="AA43" s="62"/>
      <c r="AB43" s="62"/>
      <c r="AC43" s="62"/>
      <c r="AD43" s="62"/>
      <c r="AE43" s="62"/>
      <c r="AF43" s="86"/>
      <c r="AG43" s="87"/>
      <c r="AH43" s="62"/>
      <c r="AI43" s="62"/>
      <c r="AJ43" s="62"/>
      <c r="AK43" s="62"/>
      <c r="AL43" s="62"/>
      <c r="AM43" s="86"/>
      <c r="AN43" s="87"/>
      <c r="AO43" s="62"/>
      <c r="AP43" s="62"/>
      <c r="AQ43" s="62"/>
      <c r="AR43" s="62"/>
      <c r="AS43" s="62"/>
      <c r="AT43" s="86"/>
      <c r="AU43" s="87"/>
      <c r="AV43" s="62"/>
      <c r="AW43" s="62"/>
      <c r="AX43" s="62"/>
      <c r="AY43" s="62"/>
      <c r="AZ43" s="62"/>
      <c r="BA43" s="86"/>
      <c r="BB43" s="87"/>
      <c r="BC43" s="62"/>
      <c r="BD43" s="62"/>
      <c r="BE43" s="62"/>
      <c r="BF43" s="62"/>
      <c r="BG43" s="62"/>
      <c r="BH43" s="86"/>
      <c r="BI43" s="87"/>
      <c r="BJ43" s="62"/>
      <c r="BK43" s="62"/>
      <c r="BL43" s="62"/>
      <c r="BM43" s="62"/>
      <c r="BN43" s="62"/>
      <c r="BO43" s="86"/>
      <c r="BP43" s="87"/>
      <c r="BQ43" s="62"/>
      <c r="BR43" s="62"/>
      <c r="BS43" s="62"/>
      <c r="BT43" s="62"/>
      <c r="BU43" s="62"/>
      <c r="BV43" s="86"/>
      <c r="BW43" s="63"/>
      <c r="BX43" s="62"/>
      <c r="BY43" s="62"/>
    </row>
    <row r="44" spans="1:77" s="102" customFormat="1" x14ac:dyDescent="0.2">
      <c r="A44" s="96"/>
      <c r="B44" s="96"/>
      <c r="C44" s="97" t="s">
        <v>23</v>
      </c>
      <c r="D44" s="98"/>
      <c r="E44" s="121"/>
      <c r="F44" s="135"/>
      <c r="G44" s="101"/>
      <c r="H44" s="98" t="s">
        <v>30</v>
      </c>
      <c r="I44" s="151" t="s">
        <v>105</v>
      </c>
      <c r="J44" s="101"/>
      <c r="K44" s="100"/>
      <c r="L44" s="95"/>
      <c r="M44" s="99" t="s">
        <v>37</v>
      </c>
      <c r="N44" s="99"/>
      <c r="O44" s="99"/>
      <c r="P44" s="99"/>
      <c r="Q44" s="99"/>
      <c r="R44" s="100"/>
      <c r="S44" s="95"/>
      <c r="T44" s="99"/>
      <c r="U44" s="99"/>
      <c r="V44" s="99"/>
      <c r="W44" s="99"/>
      <c r="X44" s="99"/>
      <c r="Y44" s="100"/>
      <c r="Z44" s="95"/>
      <c r="AA44" s="99"/>
      <c r="AB44" s="99"/>
      <c r="AC44" s="99"/>
      <c r="AD44" s="99"/>
      <c r="AE44" s="99"/>
      <c r="AF44" s="100"/>
      <c r="AG44" s="95"/>
      <c r="AH44" s="99"/>
      <c r="AI44" s="99"/>
      <c r="AJ44" s="99"/>
      <c r="AK44" s="99"/>
      <c r="AL44" s="99"/>
      <c r="AM44" s="100"/>
      <c r="AN44" s="95"/>
      <c r="AO44" s="99"/>
      <c r="AP44" s="99"/>
      <c r="AQ44" s="99"/>
      <c r="AR44" s="99"/>
      <c r="AS44" s="99"/>
      <c r="AT44" s="100"/>
      <c r="AU44" s="95"/>
      <c r="AV44" s="99"/>
      <c r="AW44" s="99"/>
      <c r="AX44" s="99"/>
      <c r="AY44" s="99"/>
      <c r="AZ44" s="99"/>
      <c r="BA44" s="100"/>
      <c r="BB44" s="95"/>
      <c r="BC44" s="99"/>
      <c r="BD44" s="99"/>
      <c r="BE44" s="99"/>
      <c r="BF44" s="99"/>
      <c r="BG44" s="99"/>
      <c r="BH44" s="100"/>
      <c r="BI44" s="95"/>
      <c r="BJ44" s="99"/>
      <c r="BK44" s="99"/>
      <c r="BL44" s="99"/>
      <c r="BM44" s="99"/>
      <c r="BN44" s="99"/>
      <c r="BO44" s="100"/>
      <c r="BP44" s="95"/>
      <c r="BQ44" s="99"/>
      <c r="BR44" s="99"/>
      <c r="BS44" s="99"/>
      <c r="BT44" s="99"/>
      <c r="BU44" s="99"/>
      <c r="BV44" s="100"/>
      <c r="BW44" s="101"/>
      <c r="BX44" s="99"/>
      <c r="BY44" s="99"/>
    </row>
    <row r="45" spans="1:77" s="3" customFormat="1" x14ac:dyDescent="0.2">
      <c r="A45" s="51" t="s">
        <v>66</v>
      </c>
      <c r="B45" s="51" t="s">
        <v>67</v>
      </c>
      <c r="C45" s="55" t="s">
        <v>18</v>
      </c>
      <c r="D45" s="68"/>
      <c r="E45" s="119"/>
      <c r="F45" s="133"/>
      <c r="G45" s="61"/>
      <c r="H45" s="68"/>
      <c r="I45" s="149"/>
      <c r="J45" s="61"/>
      <c r="K45" s="85"/>
      <c r="L45" s="84"/>
      <c r="M45" s="60"/>
      <c r="N45" s="60"/>
      <c r="O45" s="60"/>
      <c r="P45" s="60"/>
      <c r="Q45" s="60"/>
      <c r="R45" s="85"/>
      <c r="S45" s="84"/>
      <c r="T45" s="60"/>
      <c r="U45" s="60"/>
      <c r="V45" s="60"/>
      <c r="W45" s="60"/>
      <c r="X45" s="60"/>
      <c r="Y45" s="85"/>
      <c r="Z45" s="84"/>
      <c r="AA45" s="60"/>
      <c r="AB45" s="60"/>
      <c r="AC45" s="60"/>
      <c r="AD45" s="60"/>
      <c r="AE45" s="60"/>
      <c r="AF45" s="85"/>
      <c r="AG45" s="84"/>
      <c r="AH45" s="60"/>
      <c r="AI45" s="60"/>
      <c r="AJ45" s="60"/>
      <c r="AK45" s="60"/>
      <c r="AL45" s="60"/>
      <c r="AM45" s="85"/>
      <c r="AN45" s="84"/>
      <c r="AO45" s="60"/>
      <c r="AP45" s="60"/>
      <c r="AQ45" s="60"/>
      <c r="AR45" s="60"/>
      <c r="AS45" s="60"/>
      <c r="AT45" s="85"/>
      <c r="AU45" s="84"/>
      <c r="AV45" s="60"/>
      <c r="AW45" s="60"/>
      <c r="AX45" s="60"/>
      <c r="AY45" s="60"/>
      <c r="AZ45" s="60"/>
      <c r="BA45" s="85"/>
      <c r="BB45" s="84"/>
      <c r="BC45" s="60"/>
      <c r="BD45" s="60"/>
      <c r="BE45" s="60"/>
      <c r="BF45" s="60"/>
      <c r="BG45" s="60"/>
      <c r="BH45" s="85"/>
      <c r="BI45" s="84"/>
      <c r="BJ45" s="60"/>
      <c r="BK45" s="60"/>
      <c r="BL45" s="60"/>
      <c r="BM45" s="60"/>
      <c r="BN45" s="60"/>
      <c r="BO45" s="85"/>
      <c r="BP45" s="84"/>
      <c r="BQ45" s="60"/>
      <c r="BR45" s="60"/>
      <c r="BS45" s="60"/>
      <c r="BT45" s="60"/>
      <c r="BU45" s="60"/>
      <c r="BV45" s="85"/>
      <c r="BW45" s="61"/>
      <c r="BX45" s="60"/>
      <c r="BY45" s="60"/>
    </row>
    <row r="46" spans="1:77" x14ac:dyDescent="0.2">
      <c r="A46" s="53" t="s">
        <v>91</v>
      </c>
      <c r="B46" s="154">
        <f ca="1">SUMIF($E$6:$BY$6,"&lt;"&amp;TODAY(),E46:BY46)</f>
        <v>34</v>
      </c>
      <c r="C46" s="6" t="s">
        <v>19</v>
      </c>
      <c r="D46" s="69">
        <f>SUM(E46:BY46)</f>
        <v>34</v>
      </c>
      <c r="E46" s="120">
        <v>0.5</v>
      </c>
      <c r="F46" s="134">
        <v>0.5</v>
      </c>
      <c r="G46" s="63">
        <v>1.5</v>
      </c>
      <c r="H46" s="120">
        <v>2.5</v>
      </c>
      <c r="I46" s="150">
        <v>1.5</v>
      </c>
      <c r="J46" s="63"/>
      <c r="K46" s="86"/>
      <c r="L46" s="87">
        <v>1.5</v>
      </c>
      <c r="M46" s="87">
        <v>3</v>
      </c>
      <c r="N46" s="87">
        <v>1.25</v>
      </c>
      <c r="O46" s="87">
        <v>2.25</v>
      </c>
      <c r="P46" s="87">
        <v>1.25</v>
      </c>
      <c r="Q46" s="62"/>
      <c r="R46" s="86"/>
      <c r="S46" s="87">
        <v>1.25</v>
      </c>
      <c r="T46" s="87">
        <v>1.36</v>
      </c>
      <c r="U46" s="87">
        <v>3.33</v>
      </c>
      <c r="V46" s="87">
        <v>0.33</v>
      </c>
      <c r="W46" s="87">
        <v>0.25</v>
      </c>
      <c r="X46" s="62"/>
      <c r="Y46" s="86"/>
      <c r="Z46" s="87">
        <v>1.25</v>
      </c>
      <c r="AA46" s="87">
        <v>1.25</v>
      </c>
      <c r="AB46" s="87">
        <v>1.25</v>
      </c>
      <c r="AC46" s="87">
        <v>1.1399999999999999</v>
      </c>
      <c r="AD46" s="87">
        <v>1.1399999999999999</v>
      </c>
      <c r="AE46" s="62"/>
      <c r="AF46" s="86"/>
      <c r="AG46" s="87">
        <v>1.1399999999999999</v>
      </c>
      <c r="AH46" s="87">
        <v>0.14000000000000001</v>
      </c>
      <c r="AI46" s="87">
        <v>0.14000000000000001</v>
      </c>
      <c r="AJ46" s="87">
        <v>1.1399999999999999</v>
      </c>
      <c r="AK46" s="87">
        <v>0.14000000000000001</v>
      </c>
      <c r="AL46" s="62"/>
      <c r="AM46" s="86"/>
      <c r="AN46" s="87">
        <v>1</v>
      </c>
      <c r="AO46" s="87">
        <v>0.25</v>
      </c>
      <c r="AP46" s="87">
        <v>0.25</v>
      </c>
      <c r="AQ46" s="87">
        <v>0.25</v>
      </c>
      <c r="AR46" s="87">
        <v>1.25</v>
      </c>
      <c r="AS46" s="62"/>
      <c r="AT46" s="86"/>
      <c r="AU46" s="87"/>
      <c r="AV46" s="62"/>
      <c r="AW46" s="62"/>
      <c r="AX46" s="62"/>
      <c r="AY46" s="62"/>
      <c r="AZ46" s="62"/>
      <c r="BA46" s="86"/>
      <c r="BB46" s="87"/>
      <c r="BC46" s="62"/>
      <c r="BD46" s="62"/>
      <c r="BE46" s="62"/>
      <c r="BF46" s="62"/>
      <c r="BG46" s="62"/>
      <c r="BH46" s="86"/>
      <c r="BI46" s="87"/>
      <c r="BJ46" s="62"/>
      <c r="BK46" s="62"/>
      <c r="BL46" s="62"/>
      <c r="BM46" s="62"/>
      <c r="BN46" s="62"/>
      <c r="BO46" s="86"/>
      <c r="BP46" s="87"/>
      <c r="BQ46" s="62"/>
      <c r="BR46" s="62"/>
      <c r="BS46" s="62"/>
      <c r="BT46" s="62"/>
      <c r="BU46" s="62"/>
      <c r="BV46" s="86"/>
      <c r="BW46" s="63"/>
      <c r="BX46" s="62"/>
      <c r="BY46" s="62"/>
    </row>
    <row r="47" spans="1:77" x14ac:dyDescent="0.2">
      <c r="A47" s="53" t="s">
        <v>92</v>
      </c>
      <c r="B47" s="154">
        <f ca="1">SUMIF($E$6:$BY$6,"&lt;"&amp;TODAY(),E47:BY47)</f>
        <v>12.25</v>
      </c>
      <c r="C47" s="6" t="s">
        <v>20</v>
      </c>
      <c r="D47" s="69">
        <f>SUM(E47:BY47)</f>
        <v>12.25</v>
      </c>
      <c r="E47" s="120">
        <v>1</v>
      </c>
      <c r="F47" s="134">
        <v>1</v>
      </c>
      <c r="G47" s="63">
        <v>2</v>
      </c>
      <c r="H47" s="69">
        <v>3</v>
      </c>
      <c r="I47" s="150">
        <v>2</v>
      </c>
      <c r="J47" s="63"/>
      <c r="K47" s="86"/>
      <c r="L47" s="87">
        <v>2</v>
      </c>
      <c r="M47" s="62">
        <v>0</v>
      </c>
      <c r="N47" s="62">
        <v>1.25</v>
      </c>
      <c r="O47" s="62"/>
      <c r="P47" s="62"/>
      <c r="Q47" s="62"/>
      <c r="R47" s="86"/>
      <c r="S47" s="87"/>
      <c r="T47" s="62"/>
      <c r="U47" s="62"/>
      <c r="V47" s="62"/>
      <c r="W47" s="62"/>
      <c r="X47" s="62"/>
      <c r="Y47" s="86"/>
      <c r="Z47" s="87"/>
      <c r="AA47" s="62"/>
      <c r="AB47" s="62"/>
      <c r="AC47" s="62"/>
      <c r="AD47" s="62"/>
      <c r="AE47" s="62"/>
      <c r="AF47" s="86"/>
      <c r="AG47" s="87"/>
      <c r="AH47" s="62"/>
      <c r="AI47" s="62"/>
      <c r="AJ47" s="62"/>
      <c r="AK47" s="62"/>
      <c r="AL47" s="62"/>
      <c r="AM47" s="86"/>
      <c r="AN47" s="87"/>
      <c r="AO47" s="62"/>
      <c r="AP47" s="62"/>
      <c r="AQ47" s="62"/>
      <c r="AR47" s="62"/>
      <c r="AS47" s="62"/>
      <c r="AT47" s="86"/>
      <c r="AU47" s="87"/>
      <c r="AV47" s="62"/>
      <c r="AW47" s="62"/>
      <c r="AX47" s="62"/>
      <c r="AY47" s="62"/>
      <c r="AZ47" s="62"/>
      <c r="BA47" s="86"/>
      <c r="BB47" s="87"/>
      <c r="BC47" s="62"/>
      <c r="BD47" s="62"/>
      <c r="BE47" s="62"/>
      <c r="BF47" s="62"/>
      <c r="BG47" s="62"/>
      <c r="BH47" s="86"/>
      <c r="BI47" s="87"/>
      <c r="BJ47" s="62"/>
      <c r="BK47" s="62"/>
      <c r="BL47" s="62"/>
      <c r="BM47" s="62"/>
      <c r="BN47" s="62"/>
      <c r="BO47" s="86"/>
      <c r="BP47" s="87"/>
      <c r="BQ47" s="62"/>
      <c r="BR47" s="62"/>
      <c r="BS47" s="62"/>
      <c r="BT47" s="62"/>
      <c r="BU47" s="62"/>
      <c r="BV47" s="86"/>
      <c r="BW47" s="63"/>
      <c r="BX47" s="62"/>
      <c r="BY47" s="62"/>
    </row>
    <row r="48" spans="1:77" x14ac:dyDescent="0.2">
      <c r="A48" s="53" t="s">
        <v>93</v>
      </c>
      <c r="B48" s="154">
        <f ca="1">SUMIF($E$6:$BY$6,"&lt;"&amp;TODAY(),E48:BY48)</f>
        <v>11</v>
      </c>
      <c r="C48" s="6" t="s">
        <v>21</v>
      </c>
      <c r="D48" s="69">
        <f>SUM(E48:BY48)</f>
        <v>11</v>
      </c>
      <c r="E48" s="120"/>
      <c r="F48" s="134"/>
      <c r="G48" s="63"/>
      <c r="H48" s="69"/>
      <c r="I48" s="150">
        <v>0</v>
      </c>
      <c r="J48" s="63"/>
      <c r="K48" s="86"/>
      <c r="L48" s="87"/>
      <c r="M48" s="62"/>
      <c r="N48" s="62"/>
      <c r="O48" s="62"/>
      <c r="P48" s="62">
        <v>0</v>
      </c>
      <c r="Q48" s="62"/>
      <c r="R48" s="86"/>
      <c r="S48" s="87"/>
      <c r="T48" s="62"/>
      <c r="U48" s="62"/>
      <c r="V48" s="62">
        <v>1</v>
      </c>
      <c r="W48" s="62">
        <v>1</v>
      </c>
      <c r="X48" s="62"/>
      <c r="Y48" s="86"/>
      <c r="Z48" s="87"/>
      <c r="AA48" s="62"/>
      <c r="AB48" s="62"/>
      <c r="AC48" s="62"/>
      <c r="AD48" s="62">
        <v>0</v>
      </c>
      <c r="AE48" s="62"/>
      <c r="AF48" s="86"/>
      <c r="AG48" s="87"/>
      <c r="AH48" s="62"/>
      <c r="AI48" s="62"/>
      <c r="AJ48" s="62"/>
      <c r="AK48" s="62">
        <v>0</v>
      </c>
      <c r="AL48" s="62"/>
      <c r="AM48" s="86"/>
      <c r="AN48" s="87"/>
      <c r="AO48" s="62"/>
      <c r="AP48" s="62">
        <v>1</v>
      </c>
      <c r="AQ48" s="62">
        <v>1</v>
      </c>
      <c r="AR48" s="62">
        <v>1</v>
      </c>
      <c r="AS48" s="62"/>
      <c r="AT48" s="86"/>
      <c r="AU48" s="87">
        <v>2</v>
      </c>
      <c r="AV48" s="87">
        <v>1</v>
      </c>
      <c r="AW48" s="87">
        <v>1</v>
      </c>
      <c r="AX48" s="87">
        <v>1</v>
      </c>
      <c r="AY48" s="87">
        <v>1</v>
      </c>
      <c r="AZ48" s="62"/>
      <c r="BA48" s="86"/>
      <c r="BB48" s="87"/>
      <c r="BC48" s="62"/>
      <c r="BD48" s="62"/>
      <c r="BE48" s="62"/>
      <c r="BF48" s="62"/>
      <c r="BG48" s="62"/>
      <c r="BH48" s="86"/>
      <c r="BI48" s="87"/>
      <c r="BJ48" s="62"/>
      <c r="BK48" s="62"/>
      <c r="BL48" s="62"/>
      <c r="BM48" s="62"/>
      <c r="BN48" s="62"/>
      <c r="BO48" s="86"/>
      <c r="BP48" s="87"/>
      <c r="BQ48" s="62"/>
      <c r="BR48" s="62"/>
      <c r="BS48" s="62"/>
      <c r="BT48" s="62"/>
      <c r="BU48" s="62"/>
      <c r="BV48" s="86"/>
      <c r="BW48" s="63"/>
      <c r="BX48" s="62"/>
      <c r="BY48" s="62"/>
    </row>
    <row r="49" spans="1:77" x14ac:dyDescent="0.2">
      <c r="A49" s="53" t="s">
        <v>94</v>
      </c>
      <c r="B49" s="154">
        <f ca="1">SUMIF($E$6:$BY$6,"&lt;"&amp;TODAY(),E49:BY49)</f>
        <v>0</v>
      </c>
      <c r="C49" s="6" t="s">
        <v>22</v>
      </c>
      <c r="D49" s="69">
        <f>SUM(E49:BY49)</f>
        <v>0</v>
      </c>
      <c r="E49" s="120"/>
      <c r="F49" s="134"/>
      <c r="G49" s="63"/>
      <c r="H49" s="69"/>
      <c r="I49" s="150">
        <v>0</v>
      </c>
      <c r="J49" s="63"/>
      <c r="K49" s="86"/>
      <c r="L49" s="87"/>
      <c r="M49" s="62"/>
      <c r="N49" s="62"/>
      <c r="O49" s="62"/>
      <c r="P49" s="62">
        <v>0</v>
      </c>
      <c r="Q49" s="62"/>
      <c r="R49" s="86"/>
      <c r="S49" s="87"/>
      <c r="T49" s="62"/>
      <c r="U49" s="62"/>
      <c r="V49" s="62">
        <v>0</v>
      </c>
      <c r="W49" s="62">
        <v>0</v>
      </c>
      <c r="X49" s="62"/>
      <c r="Y49" s="86"/>
      <c r="Z49" s="87"/>
      <c r="AA49" s="62"/>
      <c r="AB49" s="62"/>
      <c r="AC49" s="62"/>
      <c r="AD49" s="62">
        <v>0</v>
      </c>
      <c r="AE49" s="62"/>
      <c r="AF49" s="86"/>
      <c r="AG49" s="87"/>
      <c r="AH49" s="62"/>
      <c r="AI49" s="62"/>
      <c r="AJ49" s="62"/>
      <c r="AK49" s="62">
        <v>0</v>
      </c>
      <c r="AL49" s="62"/>
      <c r="AM49" s="86"/>
      <c r="AN49" s="87"/>
      <c r="AO49" s="62"/>
      <c r="AP49" s="62">
        <v>0</v>
      </c>
      <c r="AQ49" s="62">
        <v>0</v>
      </c>
      <c r="AR49" s="62">
        <v>0</v>
      </c>
      <c r="AS49" s="62"/>
      <c r="AT49" s="86"/>
      <c r="AU49" s="87">
        <v>0</v>
      </c>
      <c r="AV49" s="87">
        <v>0</v>
      </c>
      <c r="AW49" s="87">
        <v>0</v>
      </c>
      <c r="AX49" s="87">
        <v>0</v>
      </c>
      <c r="AY49" s="87">
        <v>0</v>
      </c>
      <c r="AZ49" s="62"/>
      <c r="BA49" s="86"/>
      <c r="BB49" s="87"/>
      <c r="BC49" s="62"/>
      <c r="BD49" s="62"/>
      <c r="BE49" s="62"/>
      <c r="BF49" s="62"/>
      <c r="BG49" s="62"/>
      <c r="BH49" s="86"/>
      <c r="BI49" s="87"/>
      <c r="BJ49" s="62"/>
      <c r="BK49" s="62"/>
      <c r="BL49" s="62"/>
      <c r="BM49" s="62"/>
      <c r="BN49" s="62"/>
      <c r="BO49" s="86"/>
      <c r="BP49" s="87"/>
      <c r="BQ49" s="62"/>
      <c r="BR49" s="62"/>
      <c r="BS49" s="62"/>
      <c r="BT49" s="62"/>
      <c r="BU49" s="62"/>
      <c r="BV49" s="86"/>
      <c r="BW49" s="63"/>
      <c r="BX49" s="62"/>
      <c r="BY49" s="62"/>
    </row>
    <row r="50" spans="1:77" s="102" customFormat="1" x14ac:dyDescent="0.2">
      <c r="A50" s="96"/>
      <c r="B50" s="96"/>
      <c r="C50" s="97" t="s">
        <v>23</v>
      </c>
      <c r="D50" s="98"/>
      <c r="E50" s="121"/>
      <c r="F50" s="135"/>
      <c r="G50" s="101"/>
      <c r="H50" s="98"/>
      <c r="I50" s="151"/>
      <c r="J50" s="101"/>
      <c r="K50" s="100"/>
      <c r="L50" s="95"/>
      <c r="M50" s="99" t="s">
        <v>106</v>
      </c>
      <c r="N50" s="99"/>
      <c r="O50" s="99"/>
      <c r="P50" s="99"/>
      <c r="Q50" s="99"/>
      <c r="R50" s="100"/>
      <c r="S50" s="95"/>
      <c r="T50" s="99"/>
      <c r="U50" s="99"/>
      <c r="V50" s="99"/>
      <c r="W50" s="99"/>
      <c r="X50" s="99"/>
      <c r="Y50" s="100"/>
      <c r="Z50" s="95"/>
      <c r="AA50" s="99"/>
      <c r="AB50" s="99"/>
      <c r="AC50" s="99"/>
      <c r="AD50" s="99"/>
      <c r="AE50" s="99"/>
      <c r="AF50" s="100"/>
      <c r="AG50" s="95"/>
      <c r="AH50" s="99"/>
      <c r="AI50" s="99"/>
      <c r="AJ50" s="99"/>
      <c r="AK50" s="99"/>
      <c r="AL50" s="99"/>
      <c r="AM50" s="100"/>
      <c r="AN50" s="95"/>
      <c r="AO50" s="99"/>
      <c r="AP50" s="99"/>
      <c r="AQ50" s="99"/>
      <c r="AR50" s="99"/>
      <c r="AS50" s="99"/>
      <c r="AT50" s="100"/>
      <c r="AU50" s="95"/>
      <c r="AV50" s="99"/>
      <c r="AW50" s="99"/>
      <c r="AX50" s="99"/>
      <c r="AY50" s="99"/>
      <c r="AZ50" s="99"/>
      <c r="BA50" s="100"/>
      <c r="BB50" s="95"/>
      <c r="BC50" s="99"/>
      <c r="BD50" s="99"/>
      <c r="BE50" s="99"/>
      <c r="BF50" s="99"/>
      <c r="BG50" s="99"/>
      <c r="BH50" s="100"/>
      <c r="BI50" s="95"/>
      <c r="BJ50" s="99"/>
      <c r="BK50" s="99"/>
      <c r="BL50" s="99"/>
      <c r="BM50" s="99"/>
      <c r="BN50" s="99"/>
      <c r="BO50" s="100"/>
      <c r="BP50" s="95"/>
      <c r="BQ50" s="99"/>
      <c r="BR50" s="99"/>
      <c r="BS50" s="99"/>
      <c r="BT50" s="99"/>
      <c r="BU50" s="99"/>
      <c r="BV50" s="100"/>
      <c r="BW50" s="101"/>
      <c r="BX50" s="99"/>
      <c r="BY50" s="99"/>
    </row>
    <row r="51" spans="1:77" s="3" customFormat="1" x14ac:dyDescent="0.2">
      <c r="A51" s="51" t="s">
        <v>68</v>
      </c>
      <c r="B51" s="51" t="s">
        <v>69</v>
      </c>
      <c r="C51" s="55" t="s">
        <v>18</v>
      </c>
      <c r="D51" s="68"/>
      <c r="E51" s="119"/>
      <c r="F51" s="133"/>
      <c r="G51" s="61"/>
      <c r="H51" s="68"/>
      <c r="I51" s="149"/>
      <c r="J51" s="61"/>
      <c r="K51" s="85"/>
      <c r="L51" s="84"/>
      <c r="M51" s="60"/>
      <c r="N51" s="60"/>
      <c r="O51" s="60"/>
      <c r="P51" s="60"/>
      <c r="Q51" s="60"/>
      <c r="R51" s="85"/>
      <c r="S51" s="84"/>
      <c r="T51" s="60"/>
      <c r="U51" s="60"/>
      <c r="V51" s="60"/>
      <c r="W51" s="60"/>
      <c r="X51" s="60"/>
      <c r="Y51" s="85"/>
      <c r="Z51" s="84"/>
      <c r="AA51" s="60"/>
      <c r="AB51" s="60"/>
      <c r="AC51" s="60"/>
      <c r="AD51" s="60"/>
      <c r="AE51" s="60"/>
      <c r="AF51" s="85"/>
      <c r="AG51" s="84"/>
      <c r="AH51" s="60"/>
      <c r="AI51" s="60"/>
      <c r="AJ51" s="60"/>
      <c r="AK51" s="60"/>
      <c r="AL51" s="60"/>
      <c r="AM51" s="85"/>
      <c r="AN51" s="84"/>
      <c r="AO51" s="60"/>
      <c r="AP51" s="60"/>
      <c r="AQ51" s="60"/>
      <c r="AR51" s="60"/>
      <c r="AS51" s="60"/>
      <c r="AT51" s="85"/>
      <c r="AU51" s="84"/>
      <c r="AV51" s="60"/>
      <c r="AW51" s="60"/>
      <c r="AX51" s="60"/>
      <c r="AY51" s="60"/>
      <c r="AZ51" s="60"/>
      <c r="BA51" s="85"/>
      <c r="BB51" s="84"/>
      <c r="BC51" s="60"/>
      <c r="BD51" s="60"/>
      <c r="BE51" s="60"/>
      <c r="BF51" s="60"/>
      <c r="BG51" s="60"/>
      <c r="BH51" s="85"/>
      <c r="BI51" s="84"/>
      <c r="BJ51" s="60"/>
      <c r="BK51" s="60"/>
      <c r="BL51" s="60"/>
      <c r="BM51" s="60"/>
      <c r="BN51" s="60"/>
      <c r="BO51" s="85"/>
      <c r="BP51" s="84"/>
      <c r="BQ51" s="60"/>
      <c r="BR51" s="60"/>
      <c r="BS51" s="60"/>
      <c r="BT51" s="60"/>
      <c r="BU51" s="60"/>
      <c r="BV51" s="85"/>
      <c r="BW51" s="61"/>
      <c r="BX51" s="60"/>
      <c r="BY51" s="60"/>
    </row>
    <row r="52" spans="1:77" x14ac:dyDescent="0.2">
      <c r="A52" s="53" t="s">
        <v>91</v>
      </c>
      <c r="B52" s="154">
        <f ca="1">SUMIF($E$6:$BY$6,"&lt;"&amp;TODAY(),E52:BY52)</f>
        <v>28</v>
      </c>
      <c r="C52" s="6" t="s">
        <v>19</v>
      </c>
      <c r="D52" s="69">
        <f>SUM(E52:BY52)</f>
        <v>28</v>
      </c>
      <c r="E52" s="120">
        <v>6</v>
      </c>
      <c r="F52" s="134">
        <v>0</v>
      </c>
      <c r="G52" s="63">
        <v>1</v>
      </c>
      <c r="H52" s="69">
        <v>0.25</v>
      </c>
      <c r="I52" s="150">
        <v>0.25</v>
      </c>
      <c r="J52" s="63"/>
      <c r="K52" s="86"/>
      <c r="L52" s="87">
        <v>0.25</v>
      </c>
      <c r="M52" s="62">
        <v>0.25</v>
      </c>
      <c r="N52" s="62">
        <v>0</v>
      </c>
      <c r="O52" s="62">
        <v>1</v>
      </c>
      <c r="P52" s="62">
        <v>0.5</v>
      </c>
      <c r="Q52" s="62"/>
      <c r="R52" s="86"/>
      <c r="S52" s="62">
        <v>0.25</v>
      </c>
      <c r="T52" s="62">
        <v>0.25</v>
      </c>
      <c r="U52" s="62">
        <v>1</v>
      </c>
      <c r="V52" s="62">
        <v>0.5</v>
      </c>
      <c r="W52" s="62">
        <v>0.5</v>
      </c>
      <c r="X52" s="62"/>
      <c r="Y52" s="86"/>
      <c r="Z52" s="87">
        <v>0.5</v>
      </c>
      <c r="AA52" s="62">
        <v>0.5</v>
      </c>
      <c r="AB52" s="62">
        <v>2</v>
      </c>
      <c r="AC52" s="62">
        <v>3</v>
      </c>
      <c r="AD52" s="62">
        <v>10</v>
      </c>
      <c r="AE52" s="62"/>
      <c r="AF52" s="86"/>
      <c r="AG52" s="87"/>
      <c r="AH52" s="62"/>
      <c r="AI52" s="62"/>
      <c r="AJ52" s="62"/>
      <c r="AK52" s="62"/>
      <c r="AL52" s="62"/>
      <c r="AM52" s="86"/>
      <c r="AN52" s="87"/>
      <c r="AO52" s="62"/>
      <c r="AP52" s="62"/>
      <c r="AQ52" s="62"/>
      <c r="AR52" s="62"/>
      <c r="AS52" s="62"/>
      <c r="AT52" s="86"/>
      <c r="AU52" s="87"/>
      <c r="AV52" s="62"/>
      <c r="AW52" s="62"/>
      <c r="AX52" s="62"/>
      <c r="AY52" s="62"/>
      <c r="AZ52" s="62"/>
      <c r="BA52" s="86"/>
      <c r="BB52" s="87"/>
      <c r="BC52" s="62"/>
      <c r="BD52" s="62"/>
      <c r="BE52" s="62"/>
      <c r="BF52" s="62"/>
      <c r="BG52" s="62"/>
      <c r="BH52" s="86"/>
      <c r="BI52" s="87"/>
      <c r="BJ52" s="62"/>
      <c r="BK52" s="62"/>
      <c r="BL52" s="62"/>
      <c r="BM52" s="62"/>
      <c r="BN52" s="62"/>
      <c r="BO52" s="86"/>
      <c r="BP52" s="87"/>
      <c r="BQ52" s="62"/>
      <c r="BR52" s="62"/>
      <c r="BS52" s="62"/>
      <c r="BT52" s="62"/>
      <c r="BU52" s="62"/>
      <c r="BV52" s="86"/>
      <c r="BW52" s="63"/>
      <c r="BX52" s="62"/>
      <c r="BY52" s="62"/>
    </row>
    <row r="53" spans="1:77" x14ac:dyDescent="0.2">
      <c r="A53" s="53" t="s">
        <v>92</v>
      </c>
      <c r="B53" s="154">
        <f ca="1">SUMIF($E$6:$BY$6,"&lt;"&amp;TODAY(),E53:BY53)</f>
        <v>8</v>
      </c>
      <c r="C53" s="6" t="s">
        <v>20</v>
      </c>
      <c r="D53" s="69">
        <f>SUM(E53:BY53)</f>
        <v>8</v>
      </c>
      <c r="E53" s="120">
        <v>5</v>
      </c>
      <c r="F53" s="134">
        <v>1</v>
      </c>
      <c r="G53" s="63">
        <v>1</v>
      </c>
      <c r="H53" s="69">
        <v>0.25</v>
      </c>
      <c r="I53" s="150">
        <v>0.25</v>
      </c>
      <c r="J53" s="63"/>
      <c r="K53" s="86"/>
      <c r="L53" s="87">
        <v>0</v>
      </c>
      <c r="M53" s="62">
        <v>0.25</v>
      </c>
      <c r="N53" s="62">
        <v>0.25</v>
      </c>
      <c r="O53" s="62"/>
      <c r="P53" s="62"/>
      <c r="Q53" s="62"/>
      <c r="R53" s="86"/>
      <c r="S53" s="87"/>
      <c r="T53" s="62"/>
      <c r="U53" s="62"/>
      <c r="V53" s="62"/>
      <c r="W53" s="62"/>
      <c r="X53" s="62"/>
      <c r="Y53" s="86"/>
      <c r="Z53" s="87"/>
      <c r="AA53" s="62"/>
      <c r="AB53" s="62"/>
      <c r="AC53" s="62"/>
      <c r="AD53" s="62"/>
      <c r="AE53" s="62"/>
      <c r="AF53" s="86"/>
      <c r="AG53" s="87"/>
      <c r="AH53" s="62"/>
      <c r="AI53" s="62"/>
      <c r="AJ53" s="62"/>
      <c r="AK53" s="62"/>
      <c r="AL53" s="62"/>
      <c r="AM53" s="86"/>
      <c r="AN53" s="87"/>
      <c r="AO53" s="62"/>
      <c r="AP53" s="62"/>
      <c r="AQ53" s="62"/>
      <c r="AR53" s="62"/>
      <c r="AS53" s="62"/>
      <c r="AT53" s="86"/>
      <c r="AU53" s="87"/>
      <c r="AV53" s="62"/>
      <c r="AW53" s="62"/>
      <c r="AX53" s="62"/>
      <c r="AY53" s="62"/>
      <c r="AZ53" s="62"/>
      <c r="BA53" s="86"/>
      <c r="BB53" s="87"/>
      <c r="BC53" s="62"/>
      <c r="BD53" s="62"/>
      <c r="BE53" s="62"/>
      <c r="BF53" s="62"/>
      <c r="BG53" s="62"/>
      <c r="BH53" s="86"/>
      <c r="BI53" s="87"/>
      <c r="BJ53" s="62"/>
      <c r="BK53" s="62"/>
      <c r="BL53" s="62"/>
      <c r="BM53" s="62"/>
      <c r="BN53" s="62"/>
      <c r="BO53" s="86"/>
      <c r="BP53" s="87"/>
      <c r="BQ53" s="62"/>
      <c r="BR53" s="62"/>
      <c r="BS53" s="62"/>
      <c r="BT53" s="62"/>
      <c r="BU53" s="62"/>
      <c r="BV53" s="86"/>
      <c r="BW53" s="63"/>
      <c r="BX53" s="62"/>
      <c r="BY53" s="62"/>
    </row>
    <row r="54" spans="1:77" x14ac:dyDescent="0.2">
      <c r="A54" s="53" t="s">
        <v>93</v>
      </c>
      <c r="B54" s="154">
        <f ca="1">SUMIF($E$6:$BY$6,"&lt;"&amp;TODAY(),E54:BY54)</f>
        <v>1</v>
      </c>
      <c r="C54" s="6" t="s">
        <v>21</v>
      </c>
      <c r="D54" s="69">
        <f>SUM(E54:BY54)</f>
        <v>1</v>
      </c>
      <c r="E54" s="120"/>
      <c r="F54" s="134"/>
      <c r="G54" s="63"/>
      <c r="H54" s="69"/>
      <c r="I54" s="150">
        <v>0</v>
      </c>
      <c r="J54" s="63"/>
      <c r="K54" s="86"/>
      <c r="L54" s="87"/>
      <c r="M54" s="62"/>
      <c r="N54" s="62"/>
      <c r="O54" s="62"/>
      <c r="P54" s="62"/>
      <c r="Q54" s="62"/>
      <c r="R54" s="86"/>
      <c r="S54" s="87"/>
      <c r="T54" s="62"/>
      <c r="U54" s="62"/>
      <c r="V54" s="62"/>
      <c r="W54" s="62"/>
      <c r="X54" s="62"/>
      <c r="Y54" s="86"/>
      <c r="Z54" s="87"/>
      <c r="AA54" s="62"/>
      <c r="AB54" s="62"/>
      <c r="AC54" s="62"/>
      <c r="AD54" s="62">
        <v>1</v>
      </c>
      <c r="AE54" s="62"/>
      <c r="AF54" s="86"/>
      <c r="AG54" s="87"/>
      <c r="AH54" s="62"/>
      <c r="AI54" s="62"/>
      <c r="AJ54" s="62"/>
      <c r="AK54" s="62"/>
      <c r="AL54" s="62"/>
      <c r="AM54" s="86"/>
      <c r="AN54" s="87"/>
      <c r="AO54" s="62"/>
      <c r="AP54" s="62"/>
      <c r="AQ54" s="62"/>
      <c r="AR54" s="62"/>
      <c r="AS54" s="62"/>
      <c r="AT54" s="86"/>
      <c r="AU54" s="87"/>
      <c r="AV54" s="62"/>
      <c r="AW54" s="62"/>
      <c r="AX54" s="62"/>
      <c r="AY54" s="62"/>
      <c r="AZ54" s="62"/>
      <c r="BA54" s="86"/>
      <c r="BB54" s="87"/>
      <c r="BC54" s="62"/>
      <c r="BD54" s="62"/>
      <c r="BE54" s="62"/>
      <c r="BF54" s="62"/>
      <c r="BG54" s="62"/>
      <c r="BH54" s="86"/>
      <c r="BI54" s="87"/>
      <c r="BJ54" s="62"/>
      <c r="BK54" s="62"/>
      <c r="BL54" s="62"/>
      <c r="BM54" s="62"/>
      <c r="BN54" s="62"/>
      <c r="BO54" s="86"/>
      <c r="BP54" s="87"/>
      <c r="BQ54" s="62"/>
      <c r="BR54" s="62"/>
      <c r="BS54" s="62"/>
      <c r="BT54" s="62"/>
      <c r="BU54" s="62"/>
      <c r="BV54" s="86"/>
      <c r="BW54" s="63"/>
      <c r="BX54" s="62"/>
      <c r="BY54" s="62"/>
    </row>
    <row r="55" spans="1:77" x14ac:dyDescent="0.2">
      <c r="A55" s="53" t="s">
        <v>94</v>
      </c>
      <c r="B55" s="154">
        <f ca="1">SUMIF($E$6:$BY$6,"&lt;"&amp;TODAY(),E55:BY55)</f>
        <v>0</v>
      </c>
      <c r="C55" s="6" t="s">
        <v>22</v>
      </c>
      <c r="D55" s="69">
        <f>SUM(E55:BY55)</f>
        <v>0</v>
      </c>
      <c r="E55" s="120"/>
      <c r="F55" s="134"/>
      <c r="G55" s="63"/>
      <c r="H55" s="69"/>
      <c r="I55" s="150">
        <v>0</v>
      </c>
      <c r="J55" s="63"/>
      <c r="K55" s="86"/>
      <c r="L55" s="87"/>
      <c r="M55" s="62"/>
      <c r="N55" s="62"/>
      <c r="O55" s="62"/>
      <c r="P55" s="62"/>
      <c r="Q55" s="62"/>
      <c r="R55" s="86"/>
      <c r="S55" s="87"/>
      <c r="T55" s="62"/>
      <c r="U55" s="62"/>
      <c r="V55" s="62"/>
      <c r="W55" s="62"/>
      <c r="X55" s="62"/>
      <c r="Y55" s="86"/>
      <c r="Z55" s="87"/>
      <c r="AA55" s="62"/>
      <c r="AB55" s="62"/>
      <c r="AC55" s="62"/>
      <c r="AD55" s="62">
        <v>0</v>
      </c>
      <c r="AE55" s="62"/>
      <c r="AF55" s="86"/>
      <c r="AG55" s="87"/>
      <c r="AH55" s="62"/>
      <c r="AI55" s="62"/>
      <c r="AJ55" s="62"/>
      <c r="AK55" s="62"/>
      <c r="AL55" s="62"/>
      <c r="AM55" s="86"/>
      <c r="AN55" s="87"/>
      <c r="AO55" s="62"/>
      <c r="AP55" s="62"/>
      <c r="AQ55" s="62"/>
      <c r="AR55" s="62"/>
      <c r="AS55" s="62"/>
      <c r="AT55" s="86"/>
      <c r="AU55" s="87"/>
      <c r="AV55" s="62"/>
      <c r="AW55" s="62"/>
      <c r="AX55" s="62"/>
      <c r="AY55" s="62"/>
      <c r="AZ55" s="62"/>
      <c r="BA55" s="86"/>
      <c r="BB55" s="87"/>
      <c r="BC55" s="62"/>
      <c r="BD55" s="62"/>
      <c r="BE55" s="62"/>
      <c r="BF55" s="62"/>
      <c r="BG55" s="62"/>
      <c r="BH55" s="86"/>
      <c r="BI55" s="87"/>
      <c r="BJ55" s="62"/>
      <c r="BK55" s="62"/>
      <c r="BL55" s="62"/>
      <c r="BM55" s="62"/>
      <c r="BN55" s="62"/>
      <c r="BO55" s="86"/>
      <c r="BP55" s="87"/>
      <c r="BQ55" s="62"/>
      <c r="BR55" s="62"/>
      <c r="BS55" s="62"/>
      <c r="BT55" s="62"/>
      <c r="BU55" s="62"/>
      <c r="BV55" s="86"/>
      <c r="BW55" s="63"/>
      <c r="BX55" s="62"/>
      <c r="BY55" s="62"/>
    </row>
    <row r="56" spans="1:77" s="102" customFormat="1" x14ac:dyDescent="0.2">
      <c r="A56" s="96"/>
      <c r="B56" s="96"/>
      <c r="C56" s="97" t="s">
        <v>23</v>
      </c>
      <c r="D56" s="98"/>
      <c r="E56" s="121"/>
      <c r="F56" s="135"/>
      <c r="G56" s="101"/>
      <c r="H56" s="98" t="s">
        <v>31</v>
      </c>
      <c r="I56" s="151"/>
      <c r="J56" s="101"/>
      <c r="K56" s="100"/>
      <c r="L56" s="95"/>
      <c r="M56" s="99"/>
      <c r="N56" s="99"/>
      <c r="O56" s="99"/>
      <c r="P56" s="99"/>
      <c r="Q56" s="99"/>
      <c r="R56" s="100"/>
      <c r="S56" s="95"/>
      <c r="T56" s="99"/>
      <c r="U56" s="99"/>
      <c r="V56" s="99"/>
      <c r="W56" s="99"/>
      <c r="X56" s="99"/>
      <c r="Y56" s="100"/>
      <c r="Z56" s="95"/>
      <c r="AA56" s="99"/>
      <c r="AB56" s="99"/>
      <c r="AC56" s="99"/>
      <c r="AD56" s="99"/>
      <c r="AE56" s="99"/>
      <c r="AF56" s="100"/>
      <c r="AG56" s="95"/>
      <c r="AH56" s="99"/>
      <c r="AI56" s="99"/>
      <c r="AJ56" s="99"/>
      <c r="AK56" s="99"/>
      <c r="AL56" s="99"/>
      <c r="AM56" s="100"/>
      <c r="AN56" s="95"/>
      <c r="AO56" s="99"/>
      <c r="AP56" s="99"/>
      <c r="AQ56" s="99"/>
      <c r="AR56" s="99"/>
      <c r="AS56" s="99"/>
      <c r="AT56" s="100"/>
      <c r="AU56" s="95"/>
      <c r="AV56" s="99"/>
      <c r="AW56" s="99"/>
      <c r="AX56" s="99"/>
      <c r="AY56" s="99"/>
      <c r="AZ56" s="99"/>
      <c r="BA56" s="100"/>
      <c r="BB56" s="95"/>
      <c r="BC56" s="99"/>
      <c r="BD56" s="99"/>
      <c r="BE56" s="99"/>
      <c r="BF56" s="99"/>
      <c r="BG56" s="99"/>
      <c r="BH56" s="100"/>
      <c r="BI56" s="95"/>
      <c r="BJ56" s="99"/>
      <c r="BK56" s="99"/>
      <c r="BL56" s="99"/>
      <c r="BM56" s="99"/>
      <c r="BN56" s="99"/>
      <c r="BO56" s="100"/>
      <c r="BP56" s="95"/>
      <c r="BQ56" s="99"/>
      <c r="BR56" s="99"/>
      <c r="BS56" s="99"/>
      <c r="BT56" s="99"/>
      <c r="BU56" s="99"/>
      <c r="BV56" s="100"/>
      <c r="BW56" s="101"/>
      <c r="BX56" s="99"/>
      <c r="BY56" s="99"/>
    </row>
    <row r="57" spans="1:77" s="3" customFormat="1" x14ac:dyDescent="0.2">
      <c r="A57" s="51" t="s">
        <v>9</v>
      </c>
      <c r="B57" s="51" t="s">
        <v>70</v>
      </c>
      <c r="C57" s="55" t="s">
        <v>18</v>
      </c>
      <c r="D57" s="68"/>
      <c r="E57" s="119"/>
      <c r="F57" s="133"/>
      <c r="G57" s="61"/>
      <c r="H57" s="68"/>
      <c r="I57" s="149"/>
      <c r="J57" s="61"/>
      <c r="K57" s="85"/>
      <c r="L57" s="84" t="s">
        <v>107</v>
      </c>
      <c r="M57" s="60"/>
      <c r="N57" s="60"/>
      <c r="O57" s="60"/>
      <c r="P57" s="60"/>
      <c r="Q57" s="60"/>
      <c r="R57" s="85"/>
      <c r="S57" s="84"/>
      <c r="T57" s="60"/>
      <c r="U57" s="60"/>
      <c r="V57" s="60"/>
      <c r="W57" s="60"/>
      <c r="X57" s="60"/>
      <c r="Y57" s="85"/>
      <c r="Z57" s="84"/>
      <c r="AA57" s="60"/>
      <c r="AB57" s="60"/>
      <c r="AC57" s="60"/>
      <c r="AD57" s="60"/>
      <c r="AE57" s="60"/>
      <c r="AF57" s="85"/>
      <c r="AG57" s="84"/>
      <c r="AH57" s="60"/>
      <c r="AI57" s="60"/>
      <c r="AJ57" s="60"/>
      <c r="AK57" s="60"/>
      <c r="AL57" s="60"/>
      <c r="AM57" s="85"/>
      <c r="AN57" s="84"/>
      <c r="AO57" s="60"/>
      <c r="AP57" s="60"/>
      <c r="AQ57" s="60"/>
      <c r="AR57" s="60"/>
      <c r="AS57" s="60"/>
      <c r="AT57" s="85"/>
      <c r="AU57" s="84"/>
      <c r="AV57" s="60"/>
      <c r="AW57" s="60"/>
      <c r="AX57" s="60"/>
      <c r="AY57" s="60"/>
      <c r="AZ57" s="60"/>
      <c r="BA57" s="85"/>
      <c r="BB57" s="84"/>
      <c r="BC57" s="60"/>
      <c r="BD57" s="60"/>
      <c r="BE57" s="60"/>
      <c r="BF57" s="60"/>
      <c r="BG57" s="60"/>
      <c r="BH57" s="85"/>
      <c r="BI57" s="84"/>
      <c r="BJ57" s="60"/>
      <c r="BK57" s="60"/>
      <c r="BL57" s="60"/>
      <c r="BM57" s="60"/>
      <c r="BN57" s="60"/>
      <c r="BO57" s="85"/>
      <c r="BP57" s="84"/>
      <c r="BQ57" s="60"/>
      <c r="BR57" s="60"/>
      <c r="BS57" s="60"/>
      <c r="BT57" s="60"/>
      <c r="BU57" s="60"/>
      <c r="BV57" s="85"/>
      <c r="BW57" s="61"/>
      <c r="BX57" s="60"/>
      <c r="BY57" s="60"/>
    </row>
    <row r="58" spans="1:77" x14ac:dyDescent="0.2">
      <c r="A58" s="53" t="s">
        <v>91</v>
      </c>
      <c r="B58" s="154">
        <f ca="1">SUMIF($E$6:$BY$6,"&lt;"&amp;TODAY(),E58:BY58)</f>
        <v>11</v>
      </c>
      <c r="C58" s="6" t="s">
        <v>19</v>
      </c>
      <c r="D58" s="69">
        <f>SUM(E58:BY58)</f>
        <v>11</v>
      </c>
      <c r="E58" s="120">
        <v>1</v>
      </c>
      <c r="F58" s="134">
        <v>1</v>
      </c>
      <c r="G58" s="63">
        <v>1</v>
      </c>
      <c r="H58" s="69">
        <v>1</v>
      </c>
      <c r="I58" s="150">
        <v>0</v>
      </c>
      <c r="J58" s="63"/>
      <c r="K58" s="86"/>
      <c r="L58" s="87">
        <v>1</v>
      </c>
      <c r="M58" s="62">
        <v>1</v>
      </c>
      <c r="N58" s="62">
        <v>1</v>
      </c>
      <c r="O58" s="62"/>
      <c r="P58" s="62"/>
      <c r="Q58" s="62"/>
      <c r="R58" s="86"/>
      <c r="S58" s="87">
        <v>1</v>
      </c>
      <c r="T58" s="62">
        <v>1</v>
      </c>
      <c r="U58" s="62">
        <v>1</v>
      </c>
      <c r="V58" s="62">
        <v>1</v>
      </c>
      <c r="W58" s="62"/>
      <c r="X58" s="62"/>
      <c r="Y58" s="86"/>
      <c r="Z58" s="87"/>
      <c r="AA58" s="62"/>
      <c r="AB58" s="62"/>
      <c r="AC58" s="62"/>
      <c r="AD58" s="62"/>
      <c r="AE58" s="62"/>
      <c r="AF58" s="86"/>
      <c r="AG58" s="87"/>
      <c r="AH58" s="62"/>
      <c r="AI58" s="62"/>
      <c r="AJ58" s="62"/>
      <c r="AK58" s="62"/>
      <c r="AL58" s="62"/>
      <c r="AM58" s="86"/>
      <c r="AN58" s="87"/>
      <c r="AO58" s="62"/>
      <c r="AP58" s="62"/>
      <c r="AQ58" s="62"/>
      <c r="AR58" s="62"/>
      <c r="AS58" s="62"/>
      <c r="AT58" s="86"/>
      <c r="AU58" s="87"/>
      <c r="AV58" s="62"/>
      <c r="AW58" s="62"/>
      <c r="AX58" s="62"/>
      <c r="AY58" s="62"/>
      <c r="AZ58" s="62"/>
      <c r="BA58" s="86"/>
      <c r="BB58" s="87"/>
      <c r="BC58" s="62"/>
      <c r="BD58" s="62"/>
      <c r="BE58" s="62"/>
      <c r="BF58" s="62"/>
      <c r="BG58" s="62"/>
      <c r="BH58" s="86"/>
      <c r="BI58" s="87"/>
      <c r="BJ58" s="62"/>
      <c r="BK58" s="62"/>
      <c r="BL58" s="62"/>
      <c r="BM58" s="62"/>
      <c r="BN58" s="62"/>
      <c r="BO58" s="86"/>
      <c r="BP58" s="87"/>
      <c r="BQ58" s="62"/>
      <c r="BR58" s="62"/>
      <c r="BS58" s="62"/>
      <c r="BT58" s="62"/>
      <c r="BU58" s="62"/>
      <c r="BV58" s="86"/>
      <c r="BW58" s="63"/>
      <c r="BX58" s="62"/>
      <c r="BY58" s="62"/>
    </row>
    <row r="59" spans="1:77" x14ac:dyDescent="0.2">
      <c r="A59" s="53" t="s">
        <v>92</v>
      </c>
      <c r="B59" s="154">
        <f ca="1">SUMIF($E$6:$BY$6,"&lt;"&amp;TODAY(),E59:BY59)</f>
        <v>7</v>
      </c>
      <c r="C59" s="6" t="s">
        <v>20</v>
      </c>
      <c r="D59" s="69">
        <f>SUM(E59:BY59)</f>
        <v>7</v>
      </c>
      <c r="E59" s="120">
        <v>1</v>
      </c>
      <c r="F59" s="134">
        <v>1</v>
      </c>
      <c r="G59" s="63">
        <v>1</v>
      </c>
      <c r="H59" s="69">
        <v>1</v>
      </c>
      <c r="I59" s="150">
        <v>1</v>
      </c>
      <c r="J59" s="63"/>
      <c r="K59" s="86"/>
      <c r="L59" s="87">
        <v>0</v>
      </c>
      <c r="M59" s="62">
        <v>1</v>
      </c>
      <c r="N59" s="62">
        <v>1</v>
      </c>
      <c r="O59" s="62"/>
      <c r="P59" s="62"/>
      <c r="Q59" s="62"/>
      <c r="R59" s="86"/>
      <c r="S59" s="87"/>
      <c r="T59" s="62"/>
      <c r="U59" s="62"/>
      <c r="V59" s="62"/>
      <c r="W59" s="62"/>
      <c r="X59" s="62"/>
      <c r="Y59" s="86"/>
      <c r="Z59" s="87"/>
      <c r="AA59" s="62"/>
      <c r="AB59" s="62"/>
      <c r="AC59" s="62"/>
      <c r="AD59" s="62"/>
      <c r="AE59" s="62"/>
      <c r="AF59" s="86"/>
      <c r="AG59" s="87"/>
      <c r="AH59" s="62"/>
      <c r="AI59" s="62"/>
      <c r="AJ59" s="62"/>
      <c r="AK59" s="62"/>
      <c r="AL59" s="62"/>
      <c r="AM59" s="86"/>
      <c r="AN59" s="87"/>
      <c r="AO59" s="62"/>
      <c r="AP59" s="62"/>
      <c r="AQ59" s="62"/>
      <c r="AR59" s="62"/>
      <c r="AS59" s="62"/>
      <c r="AT59" s="86"/>
      <c r="AU59" s="87"/>
      <c r="AV59" s="62"/>
      <c r="AW59" s="62"/>
      <c r="AX59" s="62"/>
      <c r="AY59" s="62"/>
      <c r="AZ59" s="62"/>
      <c r="BA59" s="86"/>
      <c r="BB59" s="87"/>
      <c r="BC59" s="62"/>
      <c r="BD59" s="62"/>
      <c r="BE59" s="62"/>
      <c r="BF59" s="62"/>
      <c r="BG59" s="62"/>
      <c r="BH59" s="86"/>
      <c r="BI59" s="87"/>
      <c r="BJ59" s="62"/>
      <c r="BK59" s="62"/>
      <c r="BL59" s="62"/>
      <c r="BM59" s="62"/>
      <c r="BN59" s="62"/>
      <c r="BO59" s="86"/>
      <c r="BP59" s="87"/>
      <c r="BQ59" s="62"/>
      <c r="BR59" s="62"/>
      <c r="BS59" s="62"/>
      <c r="BT59" s="62"/>
      <c r="BU59" s="62"/>
      <c r="BV59" s="86"/>
      <c r="BW59" s="63"/>
      <c r="BX59" s="62"/>
      <c r="BY59" s="62"/>
    </row>
    <row r="60" spans="1:77" x14ac:dyDescent="0.2">
      <c r="A60" s="53" t="s">
        <v>93</v>
      </c>
      <c r="B60" s="154">
        <f ca="1">SUMIF($E$6:$BY$6,"&lt;"&amp;TODAY(),E60:BY60)</f>
        <v>5</v>
      </c>
      <c r="C60" s="6" t="s">
        <v>21</v>
      </c>
      <c r="D60" s="69">
        <f>SUM(E60:BY60)</f>
        <v>5</v>
      </c>
      <c r="E60" s="120"/>
      <c r="F60" s="134"/>
      <c r="G60" s="63"/>
      <c r="H60" s="69"/>
      <c r="I60" s="150">
        <v>1</v>
      </c>
      <c r="J60" s="63"/>
      <c r="K60" s="86"/>
      <c r="L60" s="87"/>
      <c r="M60" s="62"/>
      <c r="N60" s="62"/>
      <c r="O60" s="62"/>
      <c r="P60" s="62">
        <v>1</v>
      </c>
      <c r="Q60" s="62"/>
      <c r="R60" s="86"/>
      <c r="S60" s="87"/>
      <c r="T60" s="62"/>
      <c r="U60" s="62"/>
      <c r="V60" s="62"/>
      <c r="W60" s="62">
        <v>1</v>
      </c>
      <c r="X60" s="62"/>
      <c r="Y60" s="86"/>
      <c r="Z60" s="87"/>
      <c r="AA60" s="62"/>
      <c r="AB60" s="62"/>
      <c r="AC60" s="62">
        <v>1</v>
      </c>
      <c r="AD60" s="62">
        <v>1</v>
      </c>
      <c r="AE60" s="62"/>
      <c r="AF60" s="86"/>
      <c r="AG60" s="87"/>
      <c r="AH60" s="62"/>
      <c r="AI60" s="62"/>
      <c r="AJ60" s="62"/>
      <c r="AK60" s="62"/>
      <c r="AL60" s="62"/>
      <c r="AM60" s="86"/>
      <c r="AN60" s="87"/>
      <c r="AO60" s="62"/>
      <c r="AP60" s="62"/>
      <c r="AQ60" s="62"/>
      <c r="AR60" s="62"/>
      <c r="AS60" s="62"/>
      <c r="AT60" s="86"/>
      <c r="AU60" s="87"/>
      <c r="AV60" s="62"/>
      <c r="AW60" s="62"/>
      <c r="AX60" s="62"/>
      <c r="AY60" s="62"/>
      <c r="AZ60" s="62"/>
      <c r="BA60" s="86"/>
      <c r="BB60" s="87"/>
      <c r="BC60" s="62"/>
      <c r="BD60" s="62"/>
      <c r="BE60" s="62"/>
      <c r="BF60" s="62"/>
      <c r="BG60" s="62"/>
      <c r="BH60" s="86"/>
      <c r="BI60" s="87"/>
      <c r="BJ60" s="62"/>
      <c r="BK60" s="62"/>
      <c r="BL60" s="62"/>
      <c r="BM60" s="62"/>
      <c r="BN60" s="62"/>
      <c r="BO60" s="86"/>
      <c r="BP60" s="87"/>
      <c r="BQ60" s="62"/>
      <c r="BR60" s="62"/>
      <c r="BS60" s="62"/>
      <c r="BT60" s="62"/>
      <c r="BU60" s="62"/>
      <c r="BV60" s="86"/>
      <c r="BW60" s="63"/>
      <c r="BX60" s="62"/>
      <c r="BY60" s="62"/>
    </row>
    <row r="61" spans="1:77" x14ac:dyDescent="0.2">
      <c r="A61" s="53" t="s">
        <v>94</v>
      </c>
      <c r="B61" s="154">
        <f ca="1">SUMIF($E$6:$BY$6,"&lt;"&amp;TODAY(),E61:BY61)</f>
        <v>0</v>
      </c>
      <c r="C61" s="6" t="s">
        <v>22</v>
      </c>
      <c r="D61" s="69">
        <f>SUM(E61:BY61)</f>
        <v>0</v>
      </c>
      <c r="E61" s="120"/>
      <c r="F61" s="134"/>
      <c r="G61" s="63"/>
      <c r="H61" s="69"/>
      <c r="I61" s="150">
        <v>0</v>
      </c>
      <c r="J61" s="63"/>
      <c r="K61" s="86"/>
      <c r="L61" s="87"/>
      <c r="M61" s="62"/>
      <c r="N61" s="62"/>
      <c r="O61" s="62"/>
      <c r="P61" s="62"/>
      <c r="Q61" s="62"/>
      <c r="R61" s="86"/>
      <c r="S61" s="87"/>
      <c r="T61" s="62"/>
      <c r="U61" s="62"/>
      <c r="V61" s="62"/>
      <c r="W61" s="62"/>
      <c r="X61" s="62"/>
      <c r="Y61" s="86"/>
      <c r="Z61" s="87"/>
      <c r="AA61" s="62"/>
      <c r="AB61" s="62"/>
      <c r="AC61" s="62"/>
      <c r="AD61" s="62"/>
      <c r="AE61" s="62"/>
      <c r="AF61" s="86"/>
      <c r="AG61" s="87"/>
      <c r="AH61" s="62"/>
      <c r="AI61" s="62"/>
      <c r="AJ61" s="62"/>
      <c r="AK61" s="62"/>
      <c r="AL61" s="62"/>
      <c r="AM61" s="86"/>
      <c r="AN61" s="87"/>
      <c r="AO61" s="62"/>
      <c r="AP61" s="62"/>
      <c r="AQ61" s="62"/>
      <c r="AR61" s="62"/>
      <c r="AS61" s="62"/>
      <c r="AT61" s="86"/>
      <c r="AU61" s="87"/>
      <c r="AV61" s="62"/>
      <c r="AW61" s="62"/>
      <c r="AX61" s="62"/>
      <c r="AY61" s="62"/>
      <c r="AZ61" s="62"/>
      <c r="BA61" s="86"/>
      <c r="BB61" s="87"/>
      <c r="BC61" s="62"/>
      <c r="BD61" s="62"/>
      <c r="BE61" s="62"/>
      <c r="BF61" s="62"/>
      <c r="BG61" s="62"/>
      <c r="BH61" s="86"/>
      <c r="BI61" s="87"/>
      <c r="BJ61" s="62"/>
      <c r="BK61" s="62"/>
      <c r="BL61" s="62"/>
      <c r="BM61" s="62"/>
      <c r="BN61" s="62"/>
      <c r="BO61" s="86"/>
      <c r="BP61" s="87"/>
      <c r="BQ61" s="62"/>
      <c r="BR61" s="62"/>
      <c r="BS61" s="62"/>
      <c r="BT61" s="62"/>
      <c r="BU61" s="62"/>
      <c r="BV61" s="86"/>
      <c r="BW61" s="63"/>
      <c r="BX61" s="62"/>
      <c r="BY61" s="62"/>
    </row>
    <row r="62" spans="1:77" s="102" customFormat="1" x14ac:dyDescent="0.2">
      <c r="A62" s="96"/>
      <c r="B62" s="96"/>
      <c r="C62" s="97" t="s">
        <v>23</v>
      </c>
      <c r="D62" s="98"/>
      <c r="E62" s="121"/>
      <c r="F62" s="135"/>
      <c r="G62" s="101"/>
      <c r="H62" s="98"/>
      <c r="I62" s="151"/>
      <c r="J62" s="101"/>
      <c r="K62" s="100"/>
      <c r="L62" s="95"/>
      <c r="M62" s="99"/>
      <c r="N62" s="99"/>
      <c r="O62" s="99"/>
      <c r="P62" s="99"/>
      <c r="Q62" s="99"/>
      <c r="R62" s="100"/>
      <c r="S62" s="95"/>
      <c r="T62" s="99"/>
      <c r="U62" s="99"/>
      <c r="V62" s="99"/>
      <c r="W62" s="99"/>
      <c r="X62" s="99"/>
      <c r="Y62" s="100"/>
      <c r="Z62" s="95"/>
      <c r="AA62" s="99"/>
      <c r="AB62" s="99"/>
      <c r="AC62" s="99"/>
      <c r="AD62" s="99"/>
      <c r="AE62" s="99"/>
      <c r="AF62" s="100"/>
      <c r="AG62" s="95"/>
      <c r="AH62" s="99"/>
      <c r="AI62" s="99"/>
      <c r="AJ62" s="99"/>
      <c r="AK62" s="99"/>
      <c r="AL62" s="99"/>
      <c r="AM62" s="100"/>
      <c r="AN62" s="95"/>
      <c r="AO62" s="99"/>
      <c r="AP62" s="99"/>
      <c r="AQ62" s="99"/>
      <c r="AR62" s="99"/>
      <c r="AS62" s="99"/>
      <c r="AT62" s="100"/>
      <c r="AU62" s="95"/>
      <c r="AV62" s="99"/>
      <c r="AW62" s="99"/>
      <c r="AX62" s="99"/>
      <c r="AY62" s="99"/>
      <c r="AZ62" s="99"/>
      <c r="BA62" s="100"/>
      <c r="BB62" s="95"/>
      <c r="BC62" s="99"/>
      <c r="BD62" s="99"/>
      <c r="BE62" s="99"/>
      <c r="BF62" s="99"/>
      <c r="BG62" s="99"/>
      <c r="BH62" s="100"/>
      <c r="BI62" s="95"/>
      <c r="BJ62" s="99"/>
      <c r="BK62" s="99"/>
      <c r="BL62" s="99"/>
      <c r="BM62" s="99"/>
      <c r="BN62" s="99"/>
      <c r="BO62" s="100"/>
      <c r="BP62" s="95"/>
      <c r="BQ62" s="99"/>
      <c r="BR62" s="99"/>
      <c r="BS62" s="99"/>
      <c r="BT62" s="99"/>
      <c r="BU62" s="99"/>
      <c r="BV62" s="100"/>
      <c r="BW62" s="101"/>
      <c r="BX62" s="99"/>
      <c r="BY62" s="99"/>
    </row>
    <row r="63" spans="1:77" s="3" customFormat="1" x14ac:dyDescent="0.2">
      <c r="A63" s="51" t="s">
        <v>108</v>
      </c>
      <c r="B63" s="51" t="s">
        <v>79</v>
      </c>
      <c r="C63" s="55" t="s">
        <v>18</v>
      </c>
      <c r="D63" s="89"/>
      <c r="E63" s="122"/>
      <c r="F63" s="136"/>
      <c r="G63" s="93"/>
      <c r="H63" s="89"/>
      <c r="I63" s="152"/>
      <c r="J63" s="93"/>
      <c r="K63" s="92"/>
      <c r="L63" s="90"/>
      <c r="M63" s="91"/>
      <c r="N63" s="91"/>
      <c r="O63" s="91"/>
      <c r="P63" s="91"/>
      <c r="Q63" s="91"/>
      <c r="R63" s="92"/>
      <c r="S63" s="90"/>
      <c r="T63" s="91"/>
      <c r="U63" s="91"/>
      <c r="V63" s="91"/>
      <c r="W63" s="91"/>
      <c r="X63" s="91"/>
      <c r="Y63" s="92"/>
      <c r="Z63" s="90"/>
      <c r="AA63" s="91"/>
      <c r="AB63" s="91"/>
      <c r="AC63" s="91"/>
      <c r="AD63" s="91"/>
      <c r="AE63" s="91"/>
      <c r="AF63" s="92"/>
      <c r="AG63" s="90"/>
      <c r="AH63" s="91"/>
      <c r="AI63" s="91"/>
      <c r="AJ63" s="91"/>
      <c r="AK63" s="91"/>
      <c r="AL63" s="91"/>
      <c r="AM63" s="92"/>
      <c r="AN63" s="90"/>
      <c r="AO63" s="91"/>
      <c r="AP63" s="91"/>
      <c r="AQ63" s="91"/>
      <c r="AR63" s="91"/>
      <c r="AS63" s="91"/>
      <c r="AT63" s="92"/>
      <c r="AU63" s="90"/>
      <c r="AV63" s="91"/>
      <c r="AW63" s="91"/>
      <c r="AX63" s="91"/>
      <c r="AY63" s="91"/>
      <c r="AZ63" s="91"/>
      <c r="BA63" s="92"/>
      <c r="BB63" s="90"/>
      <c r="BC63" s="91"/>
      <c r="BD63" s="91"/>
      <c r="BE63" s="91"/>
      <c r="BF63" s="91"/>
      <c r="BG63" s="91"/>
      <c r="BH63" s="92"/>
      <c r="BI63" s="90"/>
      <c r="BJ63" s="91"/>
      <c r="BK63" s="91"/>
      <c r="BL63" s="91"/>
      <c r="BM63" s="91"/>
      <c r="BN63" s="91"/>
      <c r="BO63" s="92"/>
      <c r="BP63" s="90"/>
      <c r="BQ63" s="91"/>
      <c r="BR63" s="91"/>
      <c r="BS63" s="91"/>
      <c r="BT63" s="91"/>
      <c r="BU63" s="91"/>
      <c r="BV63" s="92"/>
      <c r="BW63" s="93"/>
      <c r="BX63" s="91"/>
      <c r="BY63" s="91"/>
    </row>
    <row r="64" spans="1:77" x14ac:dyDescent="0.2">
      <c r="A64" s="53" t="s">
        <v>91</v>
      </c>
      <c r="B64" s="154">
        <f ca="1">SUMIF($E$6:$BY$6,"&lt;"&amp;TODAY(),E64:BY64)</f>
        <v>42</v>
      </c>
      <c r="C64" s="6" t="s">
        <v>19</v>
      </c>
      <c r="D64" s="69">
        <f>SUM(E64:BY64)</f>
        <v>42</v>
      </c>
      <c r="E64" s="120">
        <v>4</v>
      </c>
      <c r="F64" s="134">
        <v>4</v>
      </c>
      <c r="G64" s="63">
        <v>2</v>
      </c>
      <c r="H64" s="120">
        <v>1</v>
      </c>
      <c r="I64" s="150">
        <v>2</v>
      </c>
      <c r="J64" s="63"/>
      <c r="K64" s="86"/>
      <c r="L64" s="87">
        <v>2</v>
      </c>
      <c r="M64" s="87">
        <v>2</v>
      </c>
      <c r="N64" s="87">
        <v>3</v>
      </c>
      <c r="O64" s="87">
        <v>1</v>
      </c>
      <c r="P64" s="87">
        <v>1</v>
      </c>
      <c r="Q64" s="62"/>
      <c r="R64" s="86"/>
      <c r="S64" s="87">
        <v>1</v>
      </c>
      <c r="T64" s="62">
        <v>1</v>
      </c>
      <c r="U64" s="62">
        <v>1</v>
      </c>
      <c r="V64" s="62">
        <v>1</v>
      </c>
      <c r="W64" s="62">
        <v>1</v>
      </c>
      <c r="X64" s="62"/>
      <c r="Y64" s="86"/>
      <c r="Z64" s="87">
        <v>1</v>
      </c>
      <c r="AA64" s="87">
        <v>1</v>
      </c>
      <c r="AB64" s="87">
        <v>1</v>
      </c>
      <c r="AC64" s="87">
        <v>1</v>
      </c>
      <c r="AD64" s="87">
        <v>1</v>
      </c>
      <c r="AE64" s="62"/>
      <c r="AF64" s="86"/>
      <c r="AG64" s="87">
        <v>1</v>
      </c>
      <c r="AH64" s="87">
        <v>1</v>
      </c>
      <c r="AI64" s="87">
        <v>1</v>
      </c>
      <c r="AJ64" s="87">
        <v>1</v>
      </c>
      <c r="AK64" s="87">
        <v>1</v>
      </c>
      <c r="AL64" s="62"/>
      <c r="AM64" s="86"/>
      <c r="AN64" s="87">
        <v>1</v>
      </c>
      <c r="AO64" s="87">
        <v>1</v>
      </c>
      <c r="AP64" s="87">
        <v>1</v>
      </c>
      <c r="AQ64" s="87">
        <v>1</v>
      </c>
      <c r="AR64" s="87">
        <v>1</v>
      </c>
      <c r="AS64" s="62"/>
      <c r="AT64" s="86"/>
      <c r="AU64" s="87"/>
      <c r="AV64" s="62"/>
      <c r="AW64" s="62"/>
      <c r="AX64" s="62"/>
      <c r="AY64" s="62"/>
      <c r="AZ64" s="62"/>
      <c r="BA64" s="86"/>
      <c r="BB64" s="87"/>
      <c r="BC64" s="62"/>
      <c r="BD64" s="62"/>
      <c r="BE64" s="62"/>
      <c r="BF64" s="62"/>
      <c r="BG64" s="62"/>
      <c r="BH64" s="86"/>
      <c r="BI64" s="87"/>
      <c r="BJ64" s="62"/>
      <c r="BK64" s="62"/>
      <c r="BL64" s="62"/>
      <c r="BM64" s="62"/>
      <c r="BN64" s="62"/>
      <c r="BO64" s="86"/>
      <c r="BP64" s="87"/>
      <c r="BQ64" s="62"/>
      <c r="BR64" s="62"/>
      <c r="BS64" s="62"/>
      <c r="BT64" s="62"/>
      <c r="BU64" s="62"/>
      <c r="BV64" s="86"/>
      <c r="BW64" s="63"/>
      <c r="BX64" s="62"/>
      <c r="BY64" s="62"/>
    </row>
    <row r="65" spans="1:77" x14ac:dyDescent="0.2">
      <c r="A65" s="53" t="s">
        <v>92</v>
      </c>
      <c r="B65" s="154">
        <f ca="1">SUMIF($E$6:$BY$6,"&lt;"&amp;TODAY(),E65:BY65)</f>
        <v>15</v>
      </c>
      <c r="C65" s="6" t="s">
        <v>20</v>
      </c>
      <c r="D65" s="69">
        <f>SUM(E65:BY65)</f>
        <v>15</v>
      </c>
      <c r="E65" s="120">
        <v>4</v>
      </c>
      <c r="F65" s="134">
        <v>4</v>
      </c>
      <c r="G65" s="63">
        <v>2</v>
      </c>
      <c r="H65" s="69">
        <v>1</v>
      </c>
      <c r="I65" s="150">
        <v>2</v>
      </c>
      <c r="J65" s="63"/>
      <c r="K65" s="86"/>
      <c r="L65" s="87">
        <v>2</v>
      </c>
      <c r="M65" s="62">
        <v>0</v>
      </c>
      <c r="N65" s="62">
        <v>0</v>
      </c>
      <c r="O65" s="62"/>
      <c r="P65" s="62"/>
      <c r="Q65" s="62"/>
      <c r="R65" s="86"/>
      <c r="S65" s="87"/>
      <c r="T65" s="62"/>
      <c r="U65" s="62"/>
      <c r="V65" s="62"/>
      <c r="W65" s="62"/>
      <c r="X65" s="62"/>
      <c r="Y65" s="86"/>
      <c r="Z65" s="87"/>
      <c r="AA65" s="62"/>
      <c r="AB65" s="62"/>
      <c r="AC65" s="62"/>
      <c r="AD65" s="62"/>
      <c r="AE65" s="62"/>
      <c r="AF65" s="86"/>
      <c r="AG65" s="87"/>
      <c r="AH65" s="62"/>
      <c r="AI65" s="62"/>
      <c r="AJ65" s="62"/>
      <c r="AK65" s="62"/>
      <c r="AL65" s="62"/>
      <c r="AM65" s="86"/>
      <c r="AN65" s="87"/>
      <c r="AO65" s="62"/>
      <c r="AP65" s="62"/>
      <c r="AQ65" s="62"/>
      <c r="AR65" s="62"/>
      <c r="AS65" s="62"/>
      <c r="AT65" s="86"/>
      <c r="AU65" s="87"/>
      <c r="AV65" s="62"/>
      <c r="AW65" s="62"/>
      <c r="AX65" s="62"/>
      <c r="AY65" s="62"/>
      <c r="AZ65" s="62"/>
      <c r="BA65" s="86"/>
      <c r="BB65" s="87"/>
      <c r="BC65" s="62"/>
      <c r="BD65" s="62"/>
      <c r="BE65" s="62"/>
      <c r="BF65" s="62"/>
      <c r="BG65" s="62"/>
      <c r="BH65" s="86"/>
      <c r="BI65" s="87"/>
      <c r="BJ65" s="62"/>
      <c r="BK65" s="62"/>
      <c r="BL65" s="62"/>
      <c r="BM65" s="62"/>
      <c r="BN65" s="62"/>
      <c r="BO65" s="86"/>
      <c r="BP65" s="87"/>
      <c r="BQ65" s="62"/>
      <c r="BR65" s="62"/>
      <c r="BS65" s="62"/>
      <c r="BT65" s="62"/>
      <c r="BU65" s="62"/>
      <c r="BV65" s="86"/>
      <c r="BW65" s="63"/>
      <c r="BX65" s="62"/>
      <c r="BY65" s="62"/>
    </row>
    <row r="66" spans="1:77" x14ac:dyDescent="0.2">
      <c r="A66" s="53" t="s">
        <v>93</v>
      </c>
      <c r="B66" s="154">
        <f ca="1">SUMIF($E$6:$BY$6,"&lt;"&amp;TODAY(),E66:BY66)</f>
        <v>0</v>
      </c>
      <c r="C66" s="6" t="s">
        <v>21</v>
      </c>
      <c r="D66" s="69">
        <f>SUM(E66:BY66)</f>
        <v>0</v>
      </c>
      <c r="E66" s="120"/>
      <c r="F66" s="134"/>
      <c r="G66" s="63"/>
      <c r="H66" s="69"/>
      <c r="I66" s="150"/>
      <c r="J66" s="63"/>
      <c r="K66" s="86"/>
      <c r="L66" s="87"/>
      <c r="M66" s="62"/>
      <c r="N66" s="62"/>
      <c r="O66" s="62"/>
      <c r="P66" s="62"/>
      <c r="Q66" s="62"/>
      <c r="R66" s="86"/>
      <c r="S66" s="87"/>
      <c r="T66" s="62"/>
      <c r="U66" s="62"/>
      <c r="V66" s="62"/>
      <c r="W66" s="62"/>
      <c r="X66" s="62"/>
      <c r="Y66" s="86"/>
      <c r="Z66" s="87"/>
      <c r="AA66" s="62"/>
      <c r="AB66" s="62"/>
      <c r="AC66" s="62"/>
      <c r="AD66" s="62"/>
      <c r="AE66" s="62"/>
      <c r="AF66" s="86"/>
      <c r="AG66" s="87"/>
      <c r="AH66" s="62"/>
      <c r="AI66" s="62"/>
      <c r="AJ66" s="62"/>
      <c r="AK66" s="62"/>
      <c r="AL66" s="62"/>
      <c r="AM66" s="86"/>
      <c r="AN66" s="87"/>
      <c r="AO66" s="62"/>
      <c r="AP66" s="62"/>
      <c r="AQ66" s="62"/>
      <c r="AR66" s="62"/>
      <c r="AS66" s="62"/>
      <c r="AT66" s="86"/>
      <c r="AU66" s="87"/>
      <c r="AV66" s="62"/>
      <c r="AW66" s="62"/>
      <c r="AX66" s="62"/>
      <c r="AY66" s="62"/>
      <c r="AZ66" s="62"/>
      <c r="BA66" s="86"/>
      <c r="BB66" s="87"/>
      <c r="BC66" s="62"/>
      <c r="BD66" s="62"/>
      <c r="BE66" s="62"/>
      <c r="BF66" s="62"/>
      <c r="BG66" s="62"/>
      <c r="BH66" s="86"/>
      <c r="BI66" s="87"/>
      <c r="BJ66" s="62"/>
      <c r="BK66" s="62"/>
      <c r="BL66" s="62"/>
      <c r="BM66" s="62"/>
      <c r="BN66" s="62"/>
      <c r="BO66" s="86"/>
      <c r="BP66" s="87"/>
      <c r="BQ66" s="62"/>
      <c r="BR66" s="62"/>
      <c r="BS66" s="62"/>
      <c r="BT66" s="62"/>
      <c r="BU66" s="62"/>
      <c r="BV66" s="86"/>
      <c r="BW66" s="63"/>
      <c r="BX66" s="62"/>
      <c r="BY66" s="62"/>
    </row>
    <row r="67" spans="1:77" x14ac:dyDescent="0.2">
      <c r="A67" s="53" t="s">
        <v>94</v>
      </c>
      <c r="B67" s="154">
        <f ca="1">SUMIF($E$6:$BY$6,"&lt;"&amp;TODAY(),E67:BY67)</f>
        <v>0</v>
      </c>
      <c r="C67" s="6" t="s">
        <v>22</v>
      </c>
      <c r="D67" s="69">
        <f>SUM(E67:BY67)</f>
        <v>0</v>
      </c>
      <c r="E67" s="120"/>
      <c r="F67" s="134"/>
      <c r="G67" s="63"/>
      <c r="H67" s="69"/>
      <c r="I67" s="150"/>
      <c r="J67" s="63"/>
      <c r="K67" s="86"/>
      <c r="L67" s="87"/>
      <c r="M67" s="62"/>
      <c r="N67" s="62"/>
      <c r="O67" s="62"/>
      <c r="P67" s="62"/>
      <c r="Q67" s="62"/>
      <c r="R67" s="86"/>
      <c r="S67" s="87"/>
      <c r="T67" s="62"/>
      <c r="U67" s="62"/>
      <c r="V67" s="62"/>
      <c r="W67" s="62"/>
      <c r="X67" s="62"/>
      <c r="Y67" s="86"/>
      <c r="Z67" s="87"/>
      <c r="AA67" s="62"/>
      <c r="AB67" s="62"/>
      <c r="AC67" s="62"/>
      <c r="AD67" s="62"/>
      <c r="AE67" s="62"/>
      <c r="AF67" s="86"/>
      <c r="AG67" s="87"/>
      <c r="AH67" s="62"/>
      <c r="AI67" s="62"/>
      <c r="AJ67" s="62"/>
      <c r="AK67" s="62"/>
      <c r="AL67" s="62"/>
      <c r="AM67" s="86"/>
      <c r="AN67" s="87"/>
      <c r="AO67" s="62"/>
      <c r="AP67" s="62"/>
      <c r="AQ67" s="62"/>
      <c r="AR67" s="62"/>
      <c r="AS67" s="62"/>
      <c r="AT67" s="86"/>
      <c r="AU67" s="87"/>
      <c r="AV67" s="62"/>
      <c r="AW67" s="62"/>
      <c r="AX67" s="62"/>
      <c r="AY67" s="62"/>
      <c r="AZ67" s="62"/>
      <c r="BA67" s="86"/>
      <c r="BB67" s="87"/>
      <c r="BC67" s="62"/>
      <c r="BD67" s="62"/>
      <c r="BE67" s="62"/>
      <c r="BF67" s="62"/>
      <c r="BG67" s="62"/>
      <c r="BH67" s="86"/>
      <c r="BI67" s="87"/>
      <c r="BJ67" s="62"/>
      <c r="BK67" s="62"/>
      <c r="BL67" s="62"/>
      <c r="BM67" s="62"/>
      <c r="BN67" s="62"/>
      <c r="BO67" s="86"/>
      <c r="BP67" s="87"/>
      <c r="BQ67" s="62"/>
      <c r="BR67" s="62"/>
      <c r="BS67" s="62"/>
      <c r="BT67" s="62"/>
      <c r="BU67" s="62"/>
      <c r="BV67" s="86"/>
      <c r="BW67" s="63"/>
      <c r="BX67" s="62"/>
      <c r="BY67" s="62"/>
    </row>
    <row r="68" spans="1:77" s="102" customFormat="1" x14ac:dyDescent="0.2">
      <c r="A68" s="96"/>
      <c r="B68" s="96"/>
      <c r="C68" s="97" t="s">
        <v>23</v>
      </c>
      <c r="D68" s="98"/>
      <c r="E68" s="121"/>
      <c r="F68" s="135"/>
      <c r="G68" s="101"/>
      <c r="H68" s="98"/>
      <c r="I68" s="151"/>
      <c r="J68" s="101"/>
      <c r="K68" s="100"/>
      <c r="L68" s="95"/>
      <c r="M68" s="99" t="s">
        <v>38</v>
      </c>
      <c r="N68" s="99" t="s">
        <v>38</v>
      </c>
      <c r="O68" s="99"/>
      <c r="P68" s="99"/>
      <c r="Q68" s="99"/>
      <c r="R68" s="100"/>
      <c r="S68" s="95"/>
      <c r="T68" s="99"/>
      <c r="U68" s="99"/>
      <c r="V68" s="99"/>
      <c r="W68" s="99"/>
      <c r="X68" s="99"/>
      <c r="Y68" s="100"/>
      <c r="Z68" s="95"/>
      <c r="AA68" s="99"/>
      <c r="AB68" s="99"/>
      <c r="AC68" s="99"/>
      <c r="AD68" s="99"/>
      <c r="AE68" s="99"/>
      <c r="AF68" s="100"/>
      <c r="AG68" s="95"/>
      <c r="AH68" s="99"/>
      <c r="AI68" s="99"/>
      <c r="AJ68" s="99"/>
      <c r="AK68" s="99"/>
      <c r="AL68" s="99"/>
      <c r="AM68" s="100"/>
      <c r="AN68" s="95"/>
      <c r="AO68" s="99"/>
      <c r="AP68" s="99"/>
      <c r="AQ68" s="99"/>
      <c r="AR68" s="99"/>
      <c r="AS68" s="99"/>
      <c r="AT68" s="100"/>
      <c r="AU68" s="95"/>
      <c r="AV68" s="99"/>
      <c r="AW68" s="99"/>
      <c r="AX68" s="99"/>
      <c r="AY68" s="99"/>
      <c r="AZ68" s="99"/>
      <c r="BA68" s="100"/>
      <c r="BB68" s="95"/>
      <c r="BC68" s="99"/>
      <c r="BD68" s="99"/>
      <c r="BE68" s="99"/>
      <c r="BF68" s="99"/>
      <c r="BG68" s="99"/>
      <c r="BH68" s="100"/>
      <c r="BI68" s="95"/>
      <c r="BJ68" s="99"/>
      <c r="BK68" s="99"/>
      <c r="BL68" s="99"/>
      <c r="BM68" s="99"/>
      <c r="BN68" s="99"/>
      <c r="BO68" s="100"/>
      <c r="BP68" s="95"/>
      <c r="BQ68" s="99"/>
      <c r="BR68" s="99"/>
      <c r="BS68" s="99"/>
      <c r="BT68" s="99"/>
      <c r="BU68" s="99"/>
      <c r="BV68" s="100"/>
      <c r="BW68" s="101"/>
      <c r="BX68" s="99"/>
      <c r="BY68" s="99"/>
    </row>
    <row r="69" spans="1:77" x14ac:dyDescent="0.2">
      <c r="E69" s="72"/>
      <c r="K69" s="73"/>
      <c r="L69" s="72"/>
      <c r="R69" s="73"/>
      <c r="S69" s="72"/>
      <c r="Y69" s="73"/>
      <c r="Z69" s="72"/>
      <c r="AF69" s="73"/>
      <c r="AG69" s="72"/>
      <c r="AM69" s="73"/>
      <c r="AN69" s="72"/>
      <c r="AT69" s="73"/>
      <c r="AU69" s="72"/>
      <c r="BA69" s="73"/>
      <c r="BB69" s="72"/>
      <c r="BH69" s="73"/>
      <c r="BI69" s="72"/>
      <c r="BO69" s="73"/>
      <c r="BP69" s="72"/>
      <c r="BV69" s="73"/>
    </row>
    <row r="70" spans="1:77" x14ac:dyDescent="0.2">
      <c r="E70" s="72"/>
      <c r="K70" s="73"/>
      <c r="L70" s="72"/>
      <c r="R70" s="73"/>
      <c r="S70" s="72"/>
      <c r="Y70" s="73"/>
      <c r="Z70" s="72"/>
      <c r="AF70" s="73"/>
      <c r="AG70" s="72"/>
      <c r="AM70" s="73"/>
      <c r="AN70" s="72"/>
      <c r="AT70" s="73"/>
      <c r="AU70" s="72"/>
      <c r="BA70" s="73"/>
      <c r="BB70" s="72"/>
      <c r="BH70" s="73"/>
      <c r="BI70" s="72"/>
      <c r="BO70" s="73"/>
      <c r="BP70" s="72"/>
      <c r="BV70" s="73"/>
    </row>
  </sheetData>
  <mergeCells count="2">
    <mergeCell ref="A4:D4"/>
    <mergeCell ref="A14:D14"/>
  </mergeCells>
  <conditionalFormatting sqref="D9:BY9">
    <cfRule type="cellIs" dxfId="84" priority="88" operator="greaterThan">
      <formula>0</formula>
    </cfRule>
  </conditionalFormatting>
  <conditionalFormatting sqref="D10:BY10">
    <cfRule type="cellIs" dxfId="83" priority="40" operator="greaterThan">
      <formula>0</formula>
    </cfRule>
  </conditionalFormatting>
  <conditionalFormatting sqref="D16:BY16">
    <cfRule type="cellIs" dxfId="82" priority="38" operator="greaterThan">
      <formula>0</formula>
    </cfRule>
  </conditionalFormatting>
  <conditionalFormatting sqref="D17:BY17">
    <cfRule type="cellIs" dxfId="81" priority="43" operator="greaterThan">
      <formula>0</formula>
    </cfRule>
  </conditionalFormatting>
  <conditionalFormatting sqref="D22:BY22">
    <cfRule type="cellIs" dxfId="80" priority="34" operator="greaterThan">
      <formula>0</formula>
    </cfRule>
  </conditionalFormatting>
  <conditionalFormatting sqref="D23:BY23">
    <cfRule type="cellIs" dxfId="79" priority="45" operator="greaterThan">
      <formula>0</formula>
    </cfRule>
  </conditionalFormatting>
  <conditionalFormatting sqref="D29:BY29">
    <cfRule type="cellIs" dxfId="78" priority="47" operator="greaterThan">
      <formula>0</formula>
    </cfRule>
  </conditionalFormatting>
  <conditionalFormatting sqref="D34:BY34">
    <cfRule type="cellIs" dxfId="77" priority="26" operator="greaterThan">
      <formula>0</formula>
    </cfRule>
  </conditionalFormatting>
  <conditionalFormatting sqref="D35:BY35">
    <cfRule type="cellIs" dxfId="76" priority="49" operator="greaterThan">
      <formula>0</formula>
    </cfRule>
  </conditionalFormatting>
  <conditionalFormatting sqref="D40:BY40">
    <cfRule type="cellIs" dxfId="75" priority="22" operator="greaterThan">
      <formula>0</formula>
    </cfRule>
  </conditionalFormatting>
  <conditionalFormatting sqref="D46:BY46">
    <cfRule type="cellIs" dxfId="74" priority="18" operator="greaterThan">
      <formula>0</formula>
    </cfRule>
  </conditionalFormatting>
  <conditionalFormatting sqref="D47:BY47">
    <cfRule type="cellIs" dxfId="73" priority="54" operator="greaterThan">
      <formula>0</formula>
    </cfRule>
  </conditionalFormatting>
  <conditionalFormatting sqref="D52:BY52">
    <cfRule type="cellIs" dxfId="72" priority="14" operator="greaterThan">
      <formula>0</formula>
    </cfRule>
  </conditionalFormatting>
  <conditionalFormatting sqref="D58:BY58">
    <cfRule type="cellIs" dxfId="71" priority="10" operator="greaterThan">
      <formula>0</formula>
    </cfRule>
  </conditionalFormatting>
  <conditionalFormatting sqref="D59:BY59">
    <cfRule type="cellIs" dxfId="70" priority="59" operator="greaterThan">
      <formula>0</formula>
    </cfRule>
  </conditionalFormatting>
  <conditionalFormatting sqref="D64:BY64">
    <cfRule type="cellIs" dxfId="69" priority="3" operator="greaterThan">
      <formula>0</formula>
    </cfRule>
  </conditionalFormatting>
  <conditionalFormatting sqref="D65:BY65">
    <cfRule type="cellIs" dxfId="68" priority="4" operator="greaterThan">
      <formula>0</formula>
    </cfRule>
  </conditionalFormatting>
  <conditionalFormatting sqref="E5:BY5 I7">
    <cfRule type="cellIs" dxfId="67" priority="9" operator="notEqual">
      <formula>"S"</formula>
    </cfRule>
  </conditionalFormatting>
  <conditionalFormatting sqref="E7:BY7">
    <cfRule type="cellIs" dxfId="66" priority="39" operator="greaterThan">
      <formula>"&gt;0"</formula>
    </cfRule>
  </conditionalFormatting>
  <conditionalFormatting sqref="E9:BY9">
    <cfRule type="cellIs" dxfId="65" priority="102" operator="greaterThan">
      <formula>0</formula>
    </cfRule>
    <cfRule type="cellIs" dxfId="64" priority="103" operator="greaterThan">
      <formula>"&gt;0"</formula>
    </cfRule>
  </conditionalFormatting>
  <conditionalFormatting sqref="E10:BY10">
    <cfRule type="cellIs" dxfId="63" priority="42" operator="greaterThan">
      <formula>"&gt;0"</formula>
    </cfRule>
  </conditionalFormatting>
  <conditionalFormatting sqref="E16:BY16">
    <cfRule type="cellIs" dxfId="62" priority="87" operator="greaterThan">
      <formula>"&gt;0"</formula>
    </cfRule>
    <cfRule type="cellIs" dxfId="61" priority="86" operator="greaterThan">
      <formula>0</formula>
    </cfRule>
  </conditionalFormatting>
  <conditionalFormatting sqref="E17:BY20 E23:BY26 E29:BY32 E41:BY44 E47:BY50 E53:BY56 E59:BY62 E35:BY38 E65:BY68">
    <cfRule type="cellIs" dxfId="60" priority="153" operator="greaterThan">
      <formula>"&gt;0"</formula>
    </cfRule>
  </conditionalFormatting>
  <conditionalFormatting sqref="E18:BY19">
    <cfRule type="cellIs" dxfId="59" priority="137" operator="greaterThan">
      <formula>0</formula>
    </cfRule>
    <cfRule type="cellIs" dxfId="58" priority="138" operator="greaterThan">
      <formula>0</formula>
    </cfRule>
  </conditionalFormatting>
  <conditionalFormatting sqref="E22:BY22">
    <cfRule type="cellIs" dxfId="57" priority="36" operator="greaterThan">
      <formula>0</formula>
    </cfRule>
    <cfRule type="cellIs" dxfId="56" priority="37" operator="greaterThan">
      <formula>"&gt;0"</formula>
    </cfRule>
  </conditionalFormatting>
  <conditionalFormatting sqref="E24:BY25">
    <cfRule type="cellIs" dxfId="55" priority="119" operator="greaterThan">
      <formula>0</formula>
    </cfRule>
    <cfRule type="cellIs" dxfId="54" priority="120" operator="greaterThan">
      <formula>0</formula>
    </cfRule>
  </conditionalFormatting>
  <conditionalFormatting sqref="E28:BY28">
    <cfRule type="cellIs" dxfId="53" priority="30" operator="greaterThan">
      <formula>0</formula>
    </cfRule>
    <cfRule type="cellIs" dxfId="52" priority="32" operator="greaterThan">
      <formula>0</formula>
    </cfRule>
    <cfRule type="cellIs" dxfId="51" priority="33" operator="greaterThan">
      <formula>"&gt;0"</formula>
    </cfRule>
  </conditionalFormatting>
  <conditionalFormatting sqref="E30:BY31">
    <cfRule type="cellIs" dxfId="50" priority="118" operator="greaterThan">
      <formula>0</formula>
    </cfRule>
    <cfRule type="cellIs" dxfId="49" priority="117" operator="greaterThan">
      <formula>0</formula>
    </cfRule>
  </conditionalFormatting>
  <conditionalFormatting sqref="E34:BY34">
    <cfRule type="cellIs" dxfId="48" priority="29" operator="greaterThan">
      <formula>"&gt;0"</formula>
    </cfRule>
    <cfRule type="cellIs" dxfId="47" priority="28" operator="greaterThan">
      <formula>0</formula>
    </cfRule>
  </conditionalFormatting>
  <conditionalFormatting sqref="E36:BY37">
    <cfRule type="cellIs" dxfId="46" priority="107" operator="greaterThan">
      <formula>0</formula>
    </cfRule>
    <cfRule type="cellIs" dxfId="45" priority="108" operator="greaterThan">
      <formula>0</formula>
    </cfRule>
  </conditionalFormatting>
  <conditionalFormatting sqref="E40:BY40">
    <cfRule type="cellIs" dxfId="44" priority="25" operator="greaterThan">
      <formula>"&gt;0"</formula>
    </cfRule>
    <cfRule type="cellIs" dxfId="43" priority="24" operator="greaterThan">
      <formula>0</formula>
    </cfRule>
  </conditionalFormatting>
  <conditionalFormatting sqref="E41:BY41">
    <cfRule type="cellIs" dxfId="42" priority="143" operator="greaterThan">
      <formula>0</formula>
    </cfRule>
  </conditionalFormatting>
  <conditionalFormatting sqref="E42:BY43">
    <cfRule type="cellIs" dxfId="41" priority="115" operator="greaterThan">
      <formula>0</formula>
    </cfRule>
    <cfRule type="cellIs" dxfId="40" priority="116" operator="greaterThan">
      <formula>0</formula>
    </cfRule>
  </conditionalFormatting>
  <conditionalFormatting sqref="E46:BY46">
    <cfRule type="cellIs" dxfId="39" priority="21" operator="greaterThan">
      <formula>"&gt;0"</formula>
    </cfRule>
    <cfRule type="cellIs" dxfId="38" priority="20" operator="greaterThan">
      <formula>0</formula>
    </cfRule>
  </conditionalFormatting>
  <conditionalFormatting sqref="E48:BY49">
    <cfRule type="cellIs" dxfId="37" priority="113" operator="greaterThan">
      <formula>0</formula>
    </cfRule>
    <cfRule type="cellIs" dxfId="36" priority="114" operator="greaterThan">
      <formula>0</formula>
    </cfRule>
  </conditionalFormatting>
  <conditionalFormatting sqref="E52:BY52">
    <cfRule type="cellIs" dxfId="35" priority="17" operator="greaterThan">
      <formula>"&gt;0"</formula>
    </cfRule>
    <cfRule type="cellIs" dxfId="34" priority="16" operator="greaterThan">
      <formula>0</formula>
    </cfRule>
  </conditionalFormatting>
  <conditionalFormatting sqref="E53:BY53">
    <cfRule type="cellIs" dxfId="33" priority="123" operator="greaterThan">
      <formula>0</formula>
    </cfRule>
  </conditionalFormatting>
  <conditionalFormatting sqref="E54:BY55">
    <cfRule type="cellIs" dxfId="32" priority="111" operator="greaterThan">
      <formula>0</formula>
    </cfRule>
    <cfRule type="cellIs" dxfId="31" priority="112" operator="greaterThan">
      <formula>0</formula>
    </cfRule>
  </conditionalFormatting>
  <conditionalFormatting sqref="E58:BY58">
    <cfRule type="cellIs" dxfId="30" priority="12" operator="greaterThan">
      <formula>0</formula>
    </cfRule>
    <cfRule type="cellIs" dxfId="29" priority="13" operator="greaterThan">
      <formula>"&gt;0"</formula>
    </cfRule>
  </conditionalFormatting>
  <conditionalFormatting sqref="E60:BY61">
    <cfRule type="cellIs" dxfId="28" priority="109" operator="greaterThan">
      <formula>0</formula>
    </cfRule>
    <cfRule type="cellIs" dxfId="27" priority="110" operator="greaterThan">
      <formula>0</formula>
    </cfRule>
  </conditionalFormatting>
  <conditionalFormatting sqref="E64:BY64">
    <cfRule type="cellIs" dxfId="26" priority="6" operator="greaterThan">
      <formula>"&gt;0"</formula>
    </cfRule>
    <cfRule type="cellIs" dxfId="25" priority="5" operator="greaterThan">
      <formula>0</formula>
    </cfRule>
  </conditionalFormatting>
  <conditionalFormatting sqref="E66:BY67">
    <cfRule type="cellIs" dxfId="24" priority="8" operator="greaterThan">
      <formula>0</formula>
    </cfRule>
    <cfRule type="cellIs" dxfId="23" priority="7" operator="greaterThan">
      <formula>0</formula>
    </cfRule>
  </conditionalFormatting>
  <conditionalFormatting sqref="I7 A5:XFD5">
    <cfRule type="cellIs" dxfId="22" priority="154" operator="equal">
      <formula>"S"</formula>
    </cfRule>
  </conditionalFormatting>
  <conditionalFormatting sqref="AD54:AD55">
    <cfRule type="cellIs" dxfId="21" priority="2" operator="greaterThan">
      <formula>0</formula>
    </cfRule>
    <cfRule type="cellIs" dxfId="2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9090-D641-4F22-BBE4-45A7216EA09D}">
  <dimension ref="B2:BF70"/>
  <sheetViews>
    <sheetView showGridLines="0" zoomScale="90" zoomScaleNormal="90" workbookViewId="0">
      <pane xSplit="3" ySplit="7" topLeftCell="P8" activePane="bottomRight" state="frozen"/>
      <selection pane="topRight" activeCell="D1" sqref="D1"/>
      <selection pane="bottomLeft" activeCell="A8" sqref="A8"/>
      <selection pane="bottomRight" activeCell="X21" sqref="X21"/>
    </sheetView>
  </sheetViews>
  <sheetFormatPr defaultRowHeight="15" x14ac:dyDescent="0.25"/>
  <cols>
    <col min="1" max="1" width="1.5703125" customWidth="1"/>
    <col min="2" max="2" width="2" bestFit="1" customWidth="1"/>
    <col min="3" max="3" width="11" bestFit="1" customWidth="1"/>
    <col min="4" max="7" width="6.28515625" customWidth="1"/>
    <col min="8" max="8" width="6" customWidth="1"/>
    <col min="9" max="17" width="6.28515625" customWidth="1"/>
    <col min="18" max="18" width="7.28515625" customWidth="1"/>
    <col min="19" max="57" width="6.28515625" customWidth="1"/>
    <col min="58" max="58" width="7" customWidth="1"/>
  </cols>
  <sheetData>
    <row r="2" spans="2:58" ht="15.75" thickBot="1" x14ac:dyDescent="0.3"/>
    <row r="3" spans="2:58" ht="22.9" customHeight="1" thickBot="1" x14ac:dyDescent="0.3">
      <c r="C3" s="339"/>
      <c r="D3" s="283" t="s">
        <v>1</v>
      </c>
      <c r="E3" s="284"/>
      <c r="F3" s="284"/>
      <c r="G3" s="284"/>
      <c r="H3" s="342"/>
      <c r="I3" s="346" t="s">
        <v>109</v>
      </c>
      <c r="J3" s="337"/>
      <c r="K3" s="337"/>
      <c r="L3" s="337"/>
      <c r="M3" s="338"/>
      <c r="N3" s="346" t="s">
        <v>110</v>
      </c>
      <c r="O3" s="337"/>
      <c r="P3" s="337"/>
      <c r="Q3" s="337"/>
      <c r="R3" s="338"/>
      <c r="S3" s="346" t="s">
        <v>111</v>
      </c>
      <c r="T3" s="337"/>
      <c r="U3" s="337"/>
      <c r="V3" s="337"/>
      <c r="W3" s="338"/>
      <c r="X3" s="346" t="s">
        <v>112</v>
      </c>
      <c r="Y3" s="337"/>
      <c r="Z3" s="337"/>
      <c r="AA3" s="337"/>
      <c r="AB3" s="338"/>
      <c r="AC3" s="346" t="s">
        <v>113</v>
      </c>
      <c r="AD3" s="337"/>
      <c r="AE3" s="337"/>
      <c r="AF3" s="337"/>
      <c r="AG3" s="338"/>
      <c r="AH3" s="346" t="s">
        <v>114</v>
      </c>
      <c r="AI3" s="337"/>
      <c r="AJ3" s="337"/>
      <c r="AK3" s="337"/>
      <c r="AL3" s="338"/>
      <c r="AM3" s="346" t="s">
        <v>115</v>
      </c>
      <c r="AN3" s="337"/>
      <c r="AO3" s="337"/>
      <c r="AP3" s="337"/>
      <c r="AQ3" s="338"/>
      <c r="AR3" s="336" t="s">
        <v>116</v>
      </c>
      <c r="AS3" s="337"/>
      <c r="AT3" s="337"/>
      <c r="AU3" s="337"/>
      <c r="AV3" s="338"/>
      <c r="AW3" s="336" t="s">
        <v>117</v>
      </c>
      <c r="AX3" s="337"/>
      <c r="AY3" s="337"/>
      <c r="AZ3" s="337"/>
      <c r="BA3" s="338"/>
      <c r="BB3" s="336" t="s">
        <v>118</v>
      </c>
      <c r="BC3" s="337"/>
      <c r="BD3" s="337"/>
      <c r="BE3" s="337"/>
      <c r="BF3" s="338"/>
    </row>
    <row r="4" spans="2:58" ht="28.15" customHeight="1" x14ac:dyDescent="0.25">
      <c r="B4" s="4"/>
      <c r="C4" s="340"/>
      <c r="D4" s="285"/>
      <c r="E4" s="286"/>
      <c r="F4" s="286"/>
      <c r="G4" s="286"/>
      <c r="H4" s="287"/>
      <c r="I4" s="238" t="s">
        <v>12</v>
      </c>
      <c r="J4" s="239" t="s">
        <v>13</v>
      </c>
      <c r="K4" s="239" t="s">
        <v>14</v>
      </c>
      <c r="L4" s="239" t="s">
        <v>15</v>
      </c>
      <c r="M4" s="240" t="s">
        <v>16</v>
      </c>
      <c r="N4" s="238" t="s">
        <v>12</v>
      </c>
      <c r="O4" s="239" t="s">
        <v>13</v>
      </c>
      <c r="P4" s="239" t="s">
        <v>14</v>
      </c>
      <c r="Q4" s="239" t="s">
        <v>15</v>
      </c>
      <c r="R4" s="240" t="s">
        <v>16</v>
      </c>
      <c r="S4" s="238" t="s">
        <v>12</v>
      </c>
      <c r="T4" s="239" t="s">
        <v>13</v>
      </c>
      <c r="U4" s="239" t="s">
        <v>14</v>
      </c>
      <c r="V4" s="239" t="s">
        <v>15</v>
      </c>
      <c r="W4" s="240" t="s">
        <v>16</v>
      </c>
      <c r="X4" s="238" t="s">
        <v>12</v>
      </c>
      <c r="Y4" s="239" t="s">
        <v>13</v>
      </c>
      <c r="Z4" s="239" t="s">
        <v>14</v>
      </c>
      <c r="AA4" s="239" t="s">
        <v>15</v>
      </c>
      <c r="AB4" s="240" t="s">
        <v>16</v>
      </c>
      <c r="AC4" s="238" t="s">
        <v>12</v>
      </c>
      <c r="AD4" s="239" t="s">
        <v>13</v>
      </c>
      <c r="AE4" s="239" t="s">
        <v>14</v>
      </c>
      <c r="AF4" s="239" t="s">
        <v>15</v>
      </c>
      <c r="AG4" s="240" t="s">
        <v>16</v>
      </c>
      <c r="AH4" s="238" t="s">
        <v>12</v>
      </c>
      <c r="AI4" s="239" t="s">
        <v>13</v>
      </c>
      <c r="AJ4" s="239" t="s">
        <v>14</v>
      </c>
      <c r="AK4" s="239" t="s">
        <v>15</v>
      </c>
      <c r="AL4" s="240" t="s">
        <v>16</v>
      </c>
      <c r="AM4" s="238" t="s">
        <v>12</v>
      </c>
      <c r="AN4" s="239" t="s">
        <v>13</v>
      </c>
      <c r="AO4" s="239" t="s">
        <v>14</v>
      </c>
      <c r="AP4" s="239" t="s">
        <v>15</v>
      </c>
      <c r="AQ4" s="240" t="s">
        <v>16</v>
      </c>
      <c r="AR4" s="238" t="s">
        <v>12</v>
      </c>
      <c r="AS4" s="239" t="s">
        <v>13</v>
      </c>
      <c r="AT4" s="239" t="s">
        <v>14</v>
      </c>
      <c r="AU4" s="239" t="s">
        <v>15</v>
      </c>
      <c r="AV4" s="240" t="s">
        <v>16</v>
      </c>
      <c r="AW4" s="238" t="s">
        <v>12</v>
      </c>
      <c r="AX4" s="239" t="s">
        <v>13</v>
      </c>
      <c r="AY4" s="239" t="s">
        <v>14</v>
      </c>
      <c r="AZ4" s="239" t="s">
        <v>15</v>
      </c>
      <c r="BA4" s="240" t="s">
        <v>16</v>
      </c>
      <c r="BB4" s="238" t="s">
        <v>12</v>
      </c>
      <c r="BC4" s="239" t="s">
        <v>13</v>
      </c>
      <c r="BD4" s="239" t="s">
        <v>14</v>
      </c>
      <c r="BE4" s="239" t="s">
        <v>15</v>
      </c>
      <c r="BF4" s="240" t="s">
        <v>16</v>
      </c>
    </row>
    <row r="5" spans="2:58" ht="15.75" thickBot="1" x14ac:dyDescent="0.3">
      <c r="B5" s="4"/>
      <c r="C5" s="341"/>
      <c r="D5" s="343"/>
      <c r="E5" s="344"/>
      <c r="F5" s="344"/>
      <c r="G5" s="344"/>
      <c r="H5" s="345"/>
      <c r="I5" s="241">
        <f ca="1">SUMIF($C$8:$C$70,"&lt;"&amp;"="&amp;TODAY(),I8:I70)</f>
        <v>671</v>
      </c>
      <c r="J5" s="242">
        <f ca="1">SUMIF($C$8:$C$70,"&lt;"&amp;"="&amp;TODAY(),J8:J70)</f>
        <v>385</v>
      </c>
      <c r="K5" s="242">
        <f ca="1">SUMIF($C$8:$C$70,"&lt;"&amp;"="&amp;TODAY(),K8:K70)</f>
        <v>2</v>
      </c>
      <c r="L5" s="242">
        <f ca="1">SUMIF($C$8:$C$70,"&lt;"&amp;"="&amp;TODAY(),L8:L70)</f>
        <v>2</v>
      </c>
      <c r="M5" s="243">
        <f ca="1">J5/I5</f>
        <v>0.57377049180327866</v>
      </c>
      <c r="N5" s="242">
        <f ca="1">SUMIF($C$8:$C$70,"&lt;"&amp;"="&amp;TODAY(),N8:N70)</f>
        <v>1323</v>
      </c>
      <c r="O5" s="242">
        <f ca="1">SUMIF($C$8:$C$70,"&lt;"&amp;"="&amp;TODAY(),O8:O70)</f>
        <v>643</v>
      </c>
      <c r="P5" s="242">
        <f ca="1">SUMIF($C$8:$C$70,"&lt;"&amp;"="&amp;TODAY(),P8:P70)</f>
        <v>9</v>
      </c>
      <c r="Q5" s="242">
        <f ca="1">SUMIF($C$8:$C$70,"&lt;"&amp;"="&amp;TODAY(),Q8:Q70)</f>
        <v>2</v>
      </c>
      <c r="R5" s="243">
        <f ca="1">O5/N5</f>
        <v>0.48601662887377173</v>
      </c>
      <c r="S5" s="242">
        <f ca="1">SUMIF($C$8:$C$70,"&lt;"&amp;"="&amp;TODAY(),S8:S70)</f>
        <v>154</v>
      </c>
      <c r="T5" s="242">
        <f ca="1">SUMIF($C$8:$C$70,"&lt;"&amp;"="&amp;TODAY(),T8:T70)</f>
        <v>86</v>
      </c>
      <c r="U5" s="242">
        <f ca="1">SUMIF($C$8:$C$70,"&lt;"&amp;"="&amp;TODAY(),U8:U70)</f>
        <v>5</v>
      </c>
      <c r="V5" s="242">
        <f ca="1">SUMIF($C$8:$C$70,"&lt;"&amp;"="&amp;TODAY(),V8:V70)</f>
        <v>3</v>
      </c>
      <c r="W5" s="243">
        <f ca="1">T5/S5</f>
        <v>0.55844155844155841</v>
      </c>
      <c r="X5" s="242">
        <f ca="1">SUMIF($C$8:$C$70,"&lt;"&amp;"="&amp;TODAY(),X8:X70)</f>
        <v>94</v>
      </c>
      <c r="Y5" s="242">
        <f ca="1">SUMIF($C$8:$C$70,"&lt;"&amp;"="&amp;TODAY(),Y8:Y70)</f>
        <v>93</v>
      </c>
      <c r="Z5" s="242">
        <f ca="1">SUMIF($C$8:$C$70,"&lt;"&amp;"="&amp;TODAY(),Z8:Z70)</f>
        <v>1</v>
      </c>
      <c r="AA5" s="242">
        <f ca="1">SUMIF($C$8:$C$70,"&lt;"&amp;"="&amp;TODAY(),AA8:AA70)</f>
        <v>1</v>
      </c>
      <c r="AB5" s="243">
        <f ca="1">Y5/X5</f>
        <v>0.98936170212765961</v>
      </c>
      <c r="AC5" s="242">
        <f ca="1">SUMIF($C$8:$C$70,"&lt;"&amp;"="&amp;TODAY(),AC8:AC70)</f>
        <v>392</v>
      </c>
      <c r="AD5" s="242">
        <f ca="1">SUMIF($C$8:$C$70,"&lt;"&amp;"="&amp;TODAY(),AD8:AD70)</f>
        <v>180</v>
      </c>
      <c r="AE5" s="242">
        <f ca="1">SUMIF($C$8:$C$70,"&lt;"&amp;"="&amp;TODAY(),AE8:AE70)</f>
        <v>8</v>
      </c>
      <c r="AF5" s="242">
        <f ca="1">SUMIF($C$8:$C$70,"&lt;"&amp;"="&amp;TODAY(),AF8:AF70)</f>
        <v>3</v>
      </c>
      <c r="AG5" s="243">
        <f ca="1">AD5/AC5</f>
        <v>0.45918367346938777</v>
      </c>
      <c r="AH5" s="242">
        <f ca="1">SUMIF($C$8:$C$70,"&lt;"&amp;"="&amp;TODAY(),AH8:AH70)</f>
        <v>34</v>
      </c>
      <c r="AI5" s="242">
        <f ca="1">SUMIF($C$8:$C$70,"&lt;"&amp;"="&amp;TODAY(),AI8:AI70)</f>
        <v>24.269999999999996</v>
      </c>
      <c r="AJ5" s="242">
        <f ca="1">SUMIF($C$8:$C$70,"&lt;"&amp;"="&amp;TODAY(),AJ8:AJ70)</f>
        <v>11</v>
      </c>
      <c r="AK5" s="242">
        <f ca="1">SUMIF($C$8:$C$70,"&lt;"&amp;"="&amp;TODAY(),AK8:AK70)</f>
        <v>1</v>
      </c>
      <c r="AL5" s="243">
        <f ca="1">AI5/AH5</f>
        <v>0.71382352941176463</v>
      </c>
      <c r="AM5" s="242">
        <f ca="1">SUMIF($C$8:$C$70,"&lt;"&amp;"="&amp;TODAY(),AM8:AM70)</f>
        <v>28</v>
      </c>
      <c r="AN5" s="242">
        <f ca="1">SUMIF($C$8:$C$70,"&lt;"&amp;"="&amp;TODAY(),AN8:AN70)</f>
        <v>11.5</v>
      </c>
      <c r="AO5" s="242">
        <f ca="1">SUMIF($C$8:$C$70,"&lt;"&amp;"="&amp;TODAY(),AO8:AO70)</f>
        <v>1</v>
      </c>
      <c r="AP5" s="242">
        <f ca="1">SUMIF($C$8:$C$70,"&lt;"&amp;"="&amp;TODAY(),AP8:AP70)</f>
        <v>0</v>
      </c>
      <c r="AQ5" s="243">
        <f ca="1">AN5/AM5</f>
        <v>0.4107142857142857</v>
      </c>
      <c r="AR5" s="242">
        <f ca="1">SUMIF($C$8:$C$70,"&lt;"&amp;"="&amp;TODAY(),AR8:AR70)</f>
        <v>11</v>
      </c>
      <c r="AS5" s="242">
        <f ca="1">SUMIF($C$8:$C$70,"&lt;"&amp;"="&amp;TODAY(),AS8:AS70)</f>
        <v>11</v>
      </c>
      <c r="AT5" s="242">
        <f ca="1">SUMIF($C$8:$C$70,"&lt;"&amp;"="&amp;TODAY(),AT8:AT70)</f>
        <v>5</v>
      </c>
      <c r="AU5" s="242">
        <f ca="1">SUMIF($C$8:$C$70,"&lt;"&amp;"="&amp;TODAY(),AU8:AU70)</f>
        <v>1</v>
      </c>
      <c r="AV5" s="243">
        <f ca="1">AS5/AR5</f>
        <v>1</v>
      </c>
      <c r="AW5" s="242">
        <f ca="1">SUMIF($C$8:$C$70,"&lt;"&amp;"="&amp;TODAY(),AW8:AW70)</f>
        <v>78</v>
      </c>
      <c r="AX5" s="242">
        <f ca="1">SUMIF($C$8:$C$70,"&lt;"&amp;"="&amp;TODAY(),AX8:AX70)</f>
        <v>27</v>
      </c>
      <c r="AY5" s="242">
        <f ca="1">SUMIF($C$8:$C$70,"&lt;"&amp;"="&amp;TODAY(),AY8:AY70)</f>
        <v>2</v>
      </c>
      <c r="AZ5" s="242">
        <f ca="1">SUMIF($C$8:$C$70,"&lt;"&amp;"="&amp;TODAY(),AZ8:AZ70)</f>
        <v>0</v>
      </c>
      <c r="BA5" s="243">
        <f ca="1">AX5/AW5</f>
        <v>0.34615384615384615</v>
      </c>
      <c r="BB5" s="242">
        <f ca="1">SUMIF($C$8:$C$70,"&lt;"&amp;"="&amp;TODAY(),BB8:BB70)</f>
        <v>15</v>
      </c>
      <c r="BC5" s="242">
        <f ca="1">SUMIF($C$8:$C$70,"&lt;"&amp;"="&amp;TODAY(),BC8:BC70)</f>
        <v>10</v>
      </c>
      <c r="BD5" s="242">
        <f ca="1">SUMIF($C$8:$C$70,"&lt;"&amp;"="&amp;TODAY(),BD8:BD70)</f>
        <v>2</v>
      </c>
      <c r="BE5" s="242">
        <f ca="1">SUMIF($C$8:$C$70,"&lt;"&amp;"="&amp;TODAY(),BE8:BE70)</f>
        <v>2</v>
      </c>
      <c r="BF5" s="243">
        <f ca="1">BC5/BB5</f>
        <v>0.66666666666666663</v>
      </c>
    </row>
    <row r="6" spans="2:58" ht="30" customHeight="1" x14ac:dyDescent="0.25">
      <c r="B6" s="4"/>
      <c r="C6" s="229" t="s">
        <v>17</v>
      </c>
      <c r="D6" s="168" t="s">
        <v>18</v>
      </c>
      <c r="E6" s="169" t="s">
        <v>19</v>
      </c>
      <c r="F6" s="169" t="s">
        <v>20</v>
      </c>
      <c r="G6" s="169" t="s">
        <v>21</v>
      </c>
      <c r="H6" s="169" t="s">
        <v>22</v>
      </c>
      <c r="I6" s="233" t="s">
        <v>19</v>
      </c>
      <c r="J6" s="234" t="s">
        <v>20</v>
      </c>
      <c r="K6" s="234" t="s">
        <v>21</v>
      </c>
      <c r="L6" s="234" t="s">
        <v>22</v>
      </c>
      <c r="M6" s="235" t="s">
        <v>23</v>
      </c>
      <c r="N6" s="233" t="s">
        <v>19</v>
      </c>
      <c r="O6" s="234" t="s">
        <v>20</v>
      </c>
      <c r="P6" s="234" t="s">
        <v>21</v>
      </c>
      <c r="Q6" s="234" t="s">
        <v>22</v>
      </c>
      <c r="R6" s="235" t="s">
        <v>23</v>
      </c>
      <c r="S6" s="233" t="s">
        <v>19</v>
      </c>
      <c r="T6" s="234" t="s">
        <v>20</v>
      </c>
      <c r="U6" s="234" t="s">
        <v>21</v>
      </c>
      <c r="V6" s="234" t="s">
        <v>22</v>
      </c>
      <c r="W6" s="236" t="s">
        <v>23</v>
      </c>
      <c r="X6" s="233" t="s">
        <v>19</v>
      </c>
      <c r="Y6" s="234" t="s">
        <v>20</v>
      </c>
      <c r="Z6" s="234" t="s">
        <v>21</v>
      </c>
      <c r="AA6" s="234" t="s">
        <v>22</v>
      </c>
      <c r="AB6" s="235" t="s">
        <v>23</v>
      </c>
      <c r="AC6" s="233" t="s">
        <v>19</v>
      </c>
      <c r="AD6" s="234" t="s">
        <v>20</v>
      </c>
      <c r="AE6" s="234" t="s">
        <v>21</v>
      </c>
      <c r="AF6" s="234" t="s">
        <v>22</v>
      </c>
      <c r="AG6" s="235" t="s">
        <v>23</v>
      </c>
      <c r="AH6" s="233" t="s">
        <v>19</v>
      </c>
      <c r="AI6" s="234" t="s">
        <v>20</v>
      </c>
      <c r="AJ6" s="234" t="s">
        <v>21</v>
      </c>
      <c r="AK6" s="234" t="s">
        <v>22</v>
      </c>
      <c r="AL6" s="235" t="s">
        <v>23</v>
      </c>
      <c r="AM6" s="233" t="s">
        <v>19</v>
      </c>
      <c r="AN6" s="234" t="s">
        <v>20</v>
      </c>
      <c r="AO6" s="234" t="s">
        <v>21</v>
      </c>
      <c r="AP6" s="234" t="s">
        <v>22</v>
      </c>
      <c r="AQ6" s="235" t="s">
        <v>23</v>
      </c>
      <c r="AR6" s="237" t="s">
        <v>19</v>
      </c>
      <c r="AS6" s="234" t="s">
        <v>20</v>
      </c>
      <c r="AT6" s="234" t="s">
        <v>21</v>
      </c>
      <c r="AU6" s="234" t="s">
        <v>22</v>
      </c>
      <c r="AV6" s="235" t="s">
        <v>23</v>
      </c>
      <c r="AW6" s="237" t="s">
        <v>19</v>
      </c>
      <c r="AX6" s="234" t="s">
        <v>20</v>
      </c>
      <c r="AY6" s="234" t="s">
        <v>21</v>
      </c>
      <c r="AZ6" s="234" t="s">
        <v>22</v>
      </c>
      <c r="BA6" s="235" t="s">
        <v>23</v>
      </c>
      <c r="BB6" s="237" t="s">
        <v>19</v>
      </c>
      <c r="BC6" s="234" t="s">
        <v>20</v>
      </c>
      <c r="BD6" s="234" t="s">
        <v>21</v>
      </c>
      <c r="BE6" s="234" t="s">
        <v>22</v>
      </c>
      <c r="BF6" s="235" t="s">
        <v>23</v>
      </c>
    </row>
    <row r="7" spans="2:58" x14ac:dyDescent="0.25">
      <c r="B7" s="230"/>
      <c r="C7" s="231" t="s">
        <v>24</v>
      </c>
      <c r="D7" s="224">
        <f t="shared" ref="D7:D38" si="0">IF(E7=0,0,F7/E7)</f>
        <v>0.52451346499102336</v>
      </c>
      <c r="E7" s="157">
        <f t="shared" ref="E7:G12" si="1">SUM(I7,N7,S7,X7,AC7,AH7,AM7,AR7,AW7)</f>
        <v>2785</v>
      </c>
      <c r="F7" s="157">
        <f t="shared" si="1"/>
        <v>1460.77</v>
      </c>
      <c r="G7" s="157">
        <f t="shared" si="1"/>
        <v>44</v>
      </c>
      <c r="H7" s="157">
        <f t="shared" ref="H7:H12" si="2">SUM(L7,Q7,V7,AA7,AF7,AK7,AP7,AU7,BA7)</f>
        <v>13</v>
      </c>
      <c r="I7" s="161">
        <f>SUM(I8:I12,I14:I18,I20:I24,I26:I30,I32:I36,I38:I42,I44:I48,I50:I54,I56:I60,I62:I66,I68:I70)</f>
        <v>671</v>
      </c>
      <c r="J7" s="158">
        <f>SUM(J8:J12,J14:J18,J20:J24,J26:J30,J32:J36,J38:J42,J44:J48,J50:J54,J56:J60,J62:J66,J68:J70)</f>
        <v>385</v>
      </c>
      <c r="K7" s="158">
        <f>SUM(K8:K12,K14:K18,K20:K24,K26:K30,K32:K36,K38:K42,K44:K48,K50:K54,K56:K60,K62:K66,K68:K70)</f>
        <v>2</v>
      </c>
      <c r="L7" s="158">
        <f>SUM(L8:L12,L14:L18,L20:L24,L26:L30,L32:L36,L38:L42,L44:L48,L50:L54,L56:L60,L62:L66,L68:L70)</f>
        <v>2</v>
      </c>
      <c r="M7" s="162"/>
      <c r="N7" s="161">
        <f>SUM(N8:N12,N14:N18,N20:N24,N26:N30,N32:N36,N38:N42,N44:N48,N50:N54,N56:N60,N62:N66,N68:N70)</f>
        <v>1323</v>
      </c>
      <c r="O7" s="158">
        <f>SUM(O8:O12,O14:O18,O20:O24,O26:O30,O32:O36,O38:O42,O44:O48,O50:O54,O56:O60,O62:O66,O68:O70)</f>
        <v>643</v>
      </c>
      <c r="P7" s="158">
        <f>SUM(P8:P12,P14:P18,P20:P24,P26:P30,P32:P36,P38:P42,P44:P48,P50:P54,P56:P60,P62:P66,P68:P70)</f>
        <v>9</v>
      </c>
      <c r="Q7" s="158">
        <f>SUM(Q8:Q12,Q14:Q18,Q20:Q24,Q26:Q30,Q32:Q36,Q38:Q42,Q44:Q48,Q50:Q54,Q56:Q60,Q62:Q66,Q68:Q70)</f>
        <v>2</v>
      </c>
      <c r="R7" s="162"/>
      <c r="S7" s="161">
        <f>SUM(S8:S12,S14:S18,S20:S24,S26:S30,S32:S36,S38:S42,S44:S48,S50:S54,S56:S60,S62:S66,S68:S70)</f>
        <v>154</v>
      </c>
      <c r="T7" s="158">
        <f>SUM(T8:T12,T14:T18,T20:T24,T26:T30,T32:T36,T38:T42,T44:T48,T50:T54,T56:T60,T62:T66,T68:T70)</f>
        <v>86</v>
      </c>
      <c r="U7" s="158">
        <f>SUM(U8:U12,U14:U18,U20:U24,U26:U30,U32:U36,U38:U42,U44:U48,U50:U54,U56:U60,U62:U66,U68:U70)</f>
        <v>5</v>
      </c>
      <c r="V7" s="158">
        <f>SUM(V8:V12,V14:V18,V20:V24,V26:V30,V32:V36,V38:V42,V44:V48,V50:V54,V56:V60,V62:V66,V68:V70)</f>
        <v>3</v>
      </c>
      <c r="W7" s="162"/>
      <c r="X7" s="161">
        <f>SUM(X8:X12,X14:X18,X20:X24,X26:X30,X32:X36,X38:X42,X44:X48,X50:X54,X56:X60,X62:X66,X68:X70)</f>
        <v>94</v>
      </c>
      <c r="Y7" s="158">
        <f>SUM(Y8:Y12,Y14:Y18,Y20:Y24,Y26:Y30,Y32:Y36,Y38:Y42,Y44:Y48,Y50:Y54,Y56:Y60,Y62:Y66,Y68:Y70)</f>
        <v>93</v>
      </c>
      <c r="Z7" s="158">
        <f>SUM(Z8:Z12,Z14:Z18,Z20:Z24,Z26:Z30,Z32:Z36,Z38:Z42,Z44:Z48,Z50:Z54,Z56:Z60,Z62:Z66,Z68:Z70)</f>
        <v>1</v>
      </c>
      <c r="AA7" s="158">
        <f>SUM(AA8:AA12,AA14:AA18,AA20:AA24,AA26:AA30,AA32:AA36,AA38:AA42,AA44:AA48,AA50:AA54,AA56:AA60,AA62:AA66,AA68:AA70)</f>
        <v>1</v>
      </c>
      <c r="AB7" s="162"/>
      <c r="AC7" s="161">
        <f>SUM(AC8:AC12,AC14:AC18,AC20:AC24,AC26:AC30,AC32:AC36,AC38:AC42,AC44:AC48,AC50:AC54,AC56:AC60,AC62:AC66,AC68:AC70)</f>
        <v>392</v>
      </c>
      <c r="AD7" s="158">
        <f>SUM(AD8:AD12,AD14:AD18,AD20:AD24,AD26:AD30,AD32:AD36,AD38:AD42,AD44:AD48,AD50:AD54,AD56:AD60,AD62:AD66,AD68:AD70)</f>
        <v>180</v>
      </c>
      <c r="AE7" s="158">
        <f>SUM(AE8:AE12,AE14:AE18,AE20:AE24,AE26:AE30,AE32:AE36,AE38:AE42,AE44:AE48,AE50:AE54,AE56:AE60,AE62:AE66,AE68:AE70)</f>
        <v>8</v>
      </c>
      <c r="AF7" s="158">
        <f>SUM(AF8:AF12,AF14:AF18,AF20:AF24,AF26:AF30,AF32:AF36,AF38:AF42,AF44:AF48,AF50:AF54,AF56:AF60,AF62:AF66,AF68:AF70)</f>
        <v>3</v>
      </c>
      <c r="AG7" s="162"/>
      <c r="AH7" s="161">
        <f>SUM(AH8:AH12,AH14:AH18,AH20:AH24,AH26:AH30,AH32:AH36,AH38:AH42,AH44:AH48,AH50:AH54,AH56:AH60,AH62:AH66,AH68:AH70)</f>
        <v>34</v>
      </c>
      <c r="AI7" s="158">
        <f>SUM(AI8:AI12,AI14:AI18,AI20:AI24,AI26:AI30,AI32:AI36,AI38:AI42,AI44:AI48,AI50:AI54,AI56:AI60,AI62:AI66,AI68:AI70)</f>
        <v>24.269999999999996</v>
      </c>
      <c r="AJ7" s="158">
        <f>SUM(AJ8:AJ12,AJ14:AJ18,AJ20:AJ24,AJ26:AJ30,AJ32:AJ36,AJ38:AJ42,AJ44:AJ48,AJ50:AJ54,AJ56:AJ60,AJ62:AJ66,AJ68:AJ70)</f>
        <v>11</v>
      </c>
      <c r="AK7" s="158">
        <f>SUM(AK8:AK12,AK14:AK18,AK20:AK24,AK26:AK30,AK32:AK36,AK38:AK42,AK44:AK48,AK50:AK54,AK56:AK60,AK62:AK66,AK68:AK70)</f>
        <v>1</v>
      </c>
      <c r="AL7" s="162"/>
      <c r="AM7" s="161">
        <f>SUM(AM8:AM12,AM14:AM18,AM20:AM24,AM26:AM30,AM32:AM36,AM38:AM42,AM44:AM48,AM50:AM54,AM56:AM60,AM62:AM66,AM68:AM70)</f>
        <v>28</v>
      </c>
      <c r="AN7" s="158">
        <f>SUM(AN8:AN12,AN14:AN18,AN20:AN24,AN26:AN30,AN32:AN36,AN38:AN42,AN44:AN48,AN50:AN54,AN56:AN60,AN62:AN66,AN68:AN70)</f>
        <v>11.5</v>
      </c>
      <c r="AO7" s="158">
        <f>SUM(AO8:AO12,AO14:AO18,AO20:AO24,AO26:AO30,AO32:AO36,AO38:AO42,AO44:AO48,AO50:AO54,AO56:AO60,AO62:AO66,AO68:AO70)</f>
        <v>1</v>
      </c>
      <c r="AP7" s="158">
        <f>SUM(AP8:AP12,AP14:AP18,AP20:AP24,AP26:AP30,AP32:AP36,AP38:AP42,AP44:AP48,AP50:AP54,AP56:AP60,AP62:AP66,AP68:AP70)</f>
        <v>0</v>
      </c>
      <c r="AQ7" s="162"/>
      <c r="AR7" s="161">
        <f>SUM(AR8:AR12,AR14:AR18,AR20:AR24,AR26:AR30,AR32:AR36,AR38:AR42,AR44:AR48,AR50:AR54,AR56:AR60,AR62:AR66,AR68:AR70)</f>
        <v>11</v>
      </c>
      <c r="AS7" s="158">
        <f>SUM(AS8:AS12,AS14:AS18,AS20:AS24,AS26:AS30,AS32:AS36,AS38:AS42,AS44:AS48,AS50:AS54,AS56:AS60,AS62:AS66,AS68:AS70)</f>
        <v>11</v>
      </c>
      <c r="AT7" s="158">
        <f>SUM(AT8:AT12,AT14:AT18,AT20:AT24,AT26:AT30,AT32:AT36,AT38:AT42,AT44:AT48,AT50:AT54,AT56:AT60,AT62:AT66,AT68:AT70)</f>
        <v>5</v>
      </c>
      <c r="AU7" s="158">
        <f>SUM(AU8:AU12,AU14:AU18,AU20:AU24,AU26:AU30,AU32:AU36,AU38:AU42,AU44:AU48,AU50:AU54,AU56:AU60,AU62:AU66,AU68:AU70)</f>
        <v>1</v>
      </c>
      <c r="AV7" s="162"/>
      <c r="AW7" s="161">
        <f>SUM(AW8:AW12,AW14:AW18,AW20:AW24,AW26:AW30,AW32:AW36,AW38:AW42,AW44:AW48,AW50:AW54,AW56:AW60,AW62:AW66,AW68:AW70)</f>
        <v>78</v>
      </c>
      <c r="AX7" s="158">
        <f>SUM(AX8:AX12,AX14:AX18,AX20:AX24,AX26:AX30,AX32:AX36,AX38:AX42,AX44:AX48,AX50:AX54,AX56:AX60,AX62:AX66,AX68:AX70)</f>
        <v>27</v>
      </c>
      <c r="AY7" s="158">
        <f>SUM(AY8:AY12,AY14:AY18,AY20:AY24,AY26:AY30,AY32:AY36,AY38:AY42,AY44:AY48,AY50:AY54,AY56:AY60,AY62:AY66,AY68:AY70)</f>
        <v>2</v>
      </c>
      <c r="AZ7" s="158">
        <f>SUM(AZ8:AZ12,AZ14:AZ18,AZ20:AZ24,AZ26:AZ30,AZ32:AZ36,AZ38:AZ42,AZ44:AZ48,AZ50:AZ54,AZ56:AZ60,AZ62:AZ66,AZ68:AZ70)</f>
        <v>0</v>
      </c>
      <c r="BA7" s="162"/>
      <c r="BB7" s="161">
        <f>SUM(BB8:BB12,BB14:BB18,BB20:BB24,BB26:BB30,BB32:BB36,BB38:BB42,BB44:BB48,BB50:BB54,BB56:BB60,BB62:BB66,BB68:BB70)</f>
        <v>15</v>
      </c>
      <c r="BC7" s="158">
        <f>SUM(BC8:BC12,BC14:BC18,BC20:BC24,BC26:BC30,BC32:BC36,BC38:BC42,BC44:BC48,BC50:BC54,BC56:BC60,BC62:BC66,BC68:BC70)</f>
        <v>10</v>
      </c>
      <c r="BD7" s="158">
        <f>SUM(BD8:BD12,BD14:BD18,BD20:BD24,BD26:BD30,BD32:BD36,BD38:BD42,BD44:BD48,BD50:BD54,BD56:BD60,BD62:BD66,BD68:BD70)</f>
        <v>2</v>
      </c>
      <c r="BE7" s="158">
        <f>SUM(BE8:BE12,BE14:BE18,BE20:BE24,BE26:BE30,BE32:BE36,BE38:BE42,BE44:BE48,BE50:BE54,BE56:BE60,BE62:BE66,BE68:BE70)</f>
        <v>2</v>
      </c>
      <c r="BF7" s="162"/>
    </row>
    <row r="8" spans="2:58" x14ac:dyDescent="0.25">
      <c r="B8" s="232" t="s">
        <v>25</v>
      </c>
      <c r="C8" s="228">
        <v>45705</v>
      </c>
      <c r="D8" s="224">
        <f t="shared" si="0"/>
        <v>0.99029126213592233</v>
      </c>
      <c r="E8" s="157">
        <f t="shared" si="1"/>
        <v>51.5</v>
      </c>
      <c r="F8" s="157">
        <f t="shared" si="1"/>
        <v>51</v>
      </c>
      <c r="G8" s="157">
        <f t="shared" si="1"/>
        <v>0</v>
      </c>
      <c r="H8" s="157">
        <f t="shared" si="2"/>
        <v>0</v>
      </c>
      <c r="I8" s="161">
        <v>13</v>
      </c>
      <c r="J8" s="158">
        <v>13</v>
      </c>
      <c r="K8" s="158"/>
      <c r="L8" s="158"/>
      <c r="M8" s="162"/>
      <c r="N8" s="161">
        <v>0</v>
      </c>
      <c r="O8" s="158"/>
      <c r="P8" s="158"/>
      <c r="Q8" s="158"/>
      <c r="R8" s="162"/>
      <c r="S8" s="161">
        <v>6</v>
      </c>
      <c r="T8" s="158">
        <v>6</v>
      </c>
      <c r="U8" s="158"/>
      <c r="V8" s="158"/>
      <c r="W8" s="162"/>
      <c r="X8" s="161">
        <v>0</v>
      </c>
      <c r="Y8" s="158"/>
      <c r="Z8" s="158"/>
      <c r="AA8" s="158"/>
      <c r="AB8" s="162"/>
      <c r="AC8" s="161">
        <v>21</v>
      </c>
      <c r="AD8" s="158">
        <v>21</v>
      </c>
      <c r="AE8" s="158"/>
      <c r="AF8" s="158"/>
      <c r="AG8" s="162"/>
      <c r="AH8" s="161">
        <v>0.5</v>
      </c>
      <c r="AI8" s="158">
        <v>1</v>
      </c>
      <c r="AJ8" s="158"/>
      <c r="AK8" s="158"/>
      <c r="AL8" s="162"/>
      <c r="AM8" s="161">
        <v>6</v>
      </c>
      <c r="AN8" s="158">
        <v>5</v>
      </c>
      <c r="AO8" s="158"/>
      <c r="AP8" s="158"/>
      <c r="AQ8" s="162"/>
      <c r="AR8" s="159">
        <v>1</v>
      </c>
      <c r="AS8" s="158">
        <v>1</v>
      </c>
      <c r="AT8" s="158"/>
      <c r="AU8" s="158"/>
      <c r="AV8" s="162"/>
      <c r="AW8" s="159">
        <v>4</v>
      </c>
      <c r="AX8" s="158">
        <v>4</v>
      </c>
      <c r="AY8" s="158"/>
      <c r="AZ8" s="158"/>
      <c r="BA8" s="162"/>
      <c r="BB8" s="159"/>
      <c r="BC8" s="158"/>
      <c r="BD8" s="158"/>
      <c r="BE8" s="158"/>
      <c r="BF8" s="162"/>
    </row>
    <row r="9" spans="2:58" x14ac:dyDescent="0.25">
      <c r="B9" s="232" t="s">
        <v>26</v>
      </c>
      <c r="C9" s="228">
        <f>C8+1</f>
        <v>45706</v>
      </c>
      <c r="D9" s="224">
        <f t="shared" si="0"/>
        <v>1.0566037735849056</v>
      </c>
      <c r="E9" s="157">
        <f t="shared" si="1"/>
        <v>26.5</v>
      </c>
      <c r="F9" s="157">
        <f t="shared" si="1"/>
        <v>28</v>
      </c>
      <c r="G9" s="157">
        <f t="shared" si="1"/>
        <v>0</v>
      </c>
      <c r="H9" s="157">
        <f t="shared" si="2"/>
        <v>0</v>
      </c>
      <c r="I9" s="161">
        <v>0</v>
      </c>
      <c r="J9" s="158">
        <v>0</v>
      </c>
      <c r="K9" s="158"/>
      <c r="L9" s="158"/>
      <c r="M9" s="162"/>
      <c r="N9" s="161">
        <v>0</v>
      </c>
      <c r="O9" s="158"/>
      <c r="P9" s="158"/>
      <c r="Q9" s="158"/>
      <c r="R9" s="162"/>
      <c r="S9" s="161">
        <v>6</v>
      </c>
      <c r="T9" s="158">
        <v>6</v>
      </c>
      <c r="U9" s="158"/>
      <c r="V9" s="158"/>
      <c r="W9" s="166"/>
      <c r="X9" s="161">
        <v>0</v>
      </c>
      <c r="Y9" s="158"/>
      <c r="Z9" s="158"/>
      <c r="AA9" s="158"/>
      <c r="AB9" s="162"/>
      <c r="AC9" s="161">
        <v>15</v>
      </c>
      <c r="AD9" s="158">
        <v>15</v>
      </c>
      <c r="AE9" s="158"/>
      <c r="AF9" s="158"/>
      <c r="AG9" s="162"/>
      <c r="AH9" s="161">
        <v>0.5</v>
      </c>
      <c r="AI9" s="158">
        <v>1</v>
      </c>
      <c r="AJ9" s="158"/>
      <c r="AK9" s="158"/>
      <c r="AL9" s="162"/>
      <c r="AM9" s="161">
        <v>0</v>
      </c>
      <c r="AN9" s="158">
        <v>1</v>
      </c>
      <c r="AO9" s="158"/>
      <c r="AP9" s="158"/>
      <c r="AQ9" s="162"/>
      <c r="AR9" s="159">
        <v>1</v>
      </c>
      <c r="AS9" s="158">
        <v>1</v>
      </c>
      <c r="AT9" s="158"/>
      <c r="AU9" s="158"/>
      <c r="AV9" s="162"/>
      <c r="AW9" s="159">
        <v>4</v>
      </c>
      <c r="AX9" s="158">
        <v>4</v>
      </c>
      <c r="AY9" s="158"/>
      <c r="AZ9" s="158"/>
      <c r="BA9" s="162"/>
      <c r="BB9" s="159"/>
      <c r="BC9" s="158"/>
      <c r="BD9" s="158"/>
      <c r="BE9" s="158"/>
      <c r="BF9" s="162"/>
    </row>
    <row r="10" spans="2:58" x14ac:dyDescent="0.25">
      <c r="B10" s="232" t="s">
        <v>27</v>
      </c>
      <c r="C10" s="228">
        <f>C9+1</f>
        <v>45707</v>
      </c>
      <c r="D10" s="224">
        <f t="shared" si="0"/>
        <v>2.0317460317460316</v>
      </c>
      <c r="E10" s="157">
        <f t="shared" si="1"/>
        <v>31.5</v>
      </c>
      <c r="F10" s="157">
        <f t="shared" si="1"/>
        <v>64</v>
      </c>
      <c r="G10" s="157">
        <f t="shared" si="1"/>
        <v>0</v>
      </c>
      <c r="H10" s="157">
        <f t="shared" si="2"/>
        <v>0</v>
      </c>
      <c r="I10" s="161">
        <v>12</v>
      </c>
      <c r="J10" s="158">
        <v>12</v>
      </c>
      <c r="K10" s="158"/>
      <c r="L10" s="158"/>
      <c r="M10" s="162"/>
      <c r="N10" s="161">
        <v>0</v>
      </c>
      <c r="O10" s="158"/>
      <c r="P10" s="158"/>
      <c r="Q10" s="158"/>
      <c r="R10" s="162"/>
      <c r="S10" s="161">
        <v>7</v>
      </c>
      <c r="T10" s="158">
        <v>7</v>
      </c>
      <c r="U10" s="158"/>
      <c r="V10" s="158"/>
      <c r="W10" s="166"/>
      <c r="X10" s="161">
        <v>0</v>
      </c>
      <c r="Y10" s="158"/>
      <c r="Z10" s="158"/>
      <c r="AA10" s="158"/>
      <c r="AB10" s="162"/>
      <c r="AC10" s="161">
        <v>7</v>
      </c>
      <c r="AD10" s="158">
        <f>24+15</f>
        <v>39</v>
      </c>
      <c r="AE10" s="158"/>
      <c r="AF10" s="158"/>
      <c r="AG10" s="162"/>
      <c r="AH10" s="161">
        <v>1.5</v>
      </c>
      <c r="AI10" s="158">
        <v>2</v>
      </c>
      <c r="AJ10" s="158"/>
      <c r="AK10" s="158"/>
      <c r="AL10" s="162"/>
      <c r="AM10" s="161">
        <v>1</v>
      </c>
      <c r="AN10" s="158">
        <v>1</v>
      </c>
      <c r="AO10" s="158"/>
      <c r="AP10" s="158"/>
      <c r="AQ10" s="162"/>
      <c r="AR10" s="159">
        <v>1</v>
      </c>
      <c r="AS10" s="158">
        <v>1</v>
      </c>
      <c r="AT10" s="158"/>
      <c r="AU10" s="158"/>
      <c r="AV10" s="162"/>
      <c r="AW10" s="159">
        <v>2</v>
      </c>
      <c r="AX10" s="158">
        <v>2</v>
      </c>
      <c r="AY10" s="158"/>
      <c r="AZ10" s="158"/>
      <c r="BA10" s="162"/>
      <c r="BB10" s="159">
        <v>2</v>
      </c>
      <c r="BC10" s="158">
        <v>2</v>
      </c>
      <c r="BD10" s="158"/>
      <c r="BE10" s="158"/>
      <c r="BF10" s="162" t="s">
        <v>28</v>
      </c>
    </row>
    <row r="11" spans="2:58" x14ac:dyDescent="0.25">
      <c r="B11" s="232" t="s">
        <v>26</v>
      </c>
      <c r="C11" s="228">
        <f>C10+1</f>
        <v>45708</v>
      </c>
      <c r="D11" s="224">
        <f t="shared" si="0"/>
        <v>1.7586206896551724</v>
      </c>
      <c r="E11" s="157">
        <f t="shared" si="1"/>
        <v>21.75</v>
      </c>
      <c r="F11" s="157">
        <f t="shared" si="1"/>
        <v>38.25</v>
      </c>
      <c r="G11" s="157">
        <f t="shared" si="1"/>
        <v>1</v>
      </c>
      <c r="H11" s="157">
        <f t="shared" si="2"/>
        <v>1</v>
      </c>
      <c r="I11" s="161">
        <v>6</v>
      </c>
      <c r="J11" s="158">
        <v>6</v>
      </c>
      <c r="K11" s="158"/>
      <c r="L11" s="158"/>
      <c r="M11" s="162"/>
      <c r="N11" s="161">
        <v>0</v>
      </c>
      <c r="O11" s="158"/>
      <c r="P11" s="158"/>
      <c r="Q11" s="158"/>
      <c r="R11" s="162"/>
      <c r="S11" s="161">
        <v>6</v>
      </c>
      <c r="T11" s="158">
        <v>6</v>
      </c>
      <c r="U11" s="158">
        <v>1</v>
      </c>
      <c r="V11" s="158">
        <v>1</v>
      </c>
      <c r="W11" s="162" t="s">
        <v>29</v>
      </c>
      <c r="X11" s="161">
        <f>2+2</f>
        <v>4</v>
      </c>
      <c r="Y11" s="158">
        <v>4</v>
      </c>
      <c r="Z11" s="158"/>
      <c r="AA11" s="158"/>
      <c r="AB11" s="162"/>
      <c r="AC11" s="161">
        <v>0</v>
      </c>
      <c r="AD11" s="158">
        <v>16</v>
      </c>
      <c r="AE11" s="158"/>
      <c r="AF11" s="158"/>
      <c r="AG11" s="162" t="s">
        <v>30</v>
      </c>
      <c r="AH11" s="161">
        <v>2.5</v>
      </c>
      <c r="AI11" s="158">
        <v>3</v>
      </c>
      <c r="AJ11" s="158"/>
      <c r="AK11" s="158"/>
      <c r="AL11" s="162"/>
      <c r="AM11" s="161">
        <v>0.25</v>
      </c>
      <c r="AN11" s="158">
        <v>0.25</v>
      </c>
      <c r="AO11" s="158"/>
      <c r="AP11" s="158"/>
      <c r="AQ11" s="162" t="s">
        <v>31</v>
      </c>
      <c r="AR11" s="159">
        <v>1</v>
      </c>
      <c r="AS11" s="158">
        <v>1</v>
      </c>
      <c r="AT11" s="158"/>
      <c r="AU11" s="158"/>
      <c r="AV11" s="162"/>
      <c r="AW11" s="159">
        <v>2</v>
      </c>
      <c r="AX11" s="158">
        <v>2</v>
      </c>
      <c r="AY11" s="158"/>
      <c r="AZ11" s="158"/>
      <c r="BA11" s="162"/>
      <c r="BB11" s="159"/>
      <c r="BC11" s="158"/>
      <c r="BD11" s="158"/>
      <c r="BE11" s="158"/>
      <c r="BF11" s="162"/>
    </row>
    <row r="12" spans="2:58" x14ac:dyDescent="0.25">
      <c r="B12" s="232" t="s">
        <v>32</v>
      </c>
      <c r="C12" s="228">
        <f>C11+1</f>
        <v>45709</v>
      </c>
      <c r="D12" s="224">
        <f t="shared" si="0"/>
        <v>0.96129032258064517</v>
      </c>
      <c r="E12" s="157">
        <f t="shared" si="1"/>
        <v>38.75</v>
      </c>
      <c r="F12" s="157">
        <f t="shared" si="1"/>
        <v>37.25</v>
      </c>
      <c r="G12" s="157">
        <f t="shared" si="1"/>
        <v>1</v>
      </c>
      <c r="H12" s="157">
        <f t="shared" si="2"/>
        <v>0</v>
      </c>
      <c r="I12" s="161">
        <v>13</v>
      </c>
      <c r="J12" s="158">
        <v>13</v>
      </c>
      <c r="K12" s="158"/>
      <c r="L12" s="158"/>
      <c r="M12" s="162"/>
      <c r="N12" s="161">
        <v>0</v>
      </c>
      <c r="O12" s="158"/>
      <c r="P12" s="158">
        <v>0</v>
      </c>
      <c r="Q12" s="158">
        <v>0</v>
      </c>
      <c r="R12" s="162"/>
      <c r="S12" s="161">
        <v>6</v>
      </c>
      <c r="T12" s="158">
        <v>6</v>
      </c>
      <c r="U12" s="158"/>
      <c r="V12" s="158"/>
      <c r="W12" s="162"/>
      <c r="X12" s="161">
        <f>2+6</f>
        <v>8</v>
      </c>
      <c r="Y12" s="158">
        <f>2+6</f>
        <v>8</v>
      </c>
      <c r="Z12" s="158"/>
      <c r="AA12" s="158"/>
      <c r="AB12" s="162"/>
      <c r="AC12" s="161">
        <v>7</v>
      </c>
      <c r="AD12" s="158">
        <v>4</v>
      </c>
      <c r="AE12" s="158"/>
      <c r="AF12" s="158"/>
      <c r="AG12" s="162" t="s">
        <v>105</v>
      </c>
      <c r="AH12" s="161">
        <v>1.5</v>
      </c>
      <c r="AI12" s="158">
        <v>2</v>
      </c>
      <c r="AJ12" s="158"/>
      <c r="AK12" s="158"/>
      <c r="AL12" s="162"/>
      <c r="AM12" s="161">
        <v>0.25</v>
      </c>
      <c r="AN12" s="158">
        <v>0.25</v>
      </c>
      <c r="AO12" s="158"/>
      <c r="AP12" s="158"/>
      <c r="AQ12" s="162"/>
      <c r="AR12" s="159">
        <v>0</v>
      </c>
      <c r="AS12" s="158">
        <v>1</v>
      </c>
      <c r="AT12" s="158">
        <v>1</v>
      </c>
      <c r="AU12" s="158">
        <v>0</v>
      </c>
      <c r="AV12" s="162"/>
      <c r="AW12" s="159">
        <v>3</v>
      </c>
      <c r="AX12" s="158">
        <v>3</v>
      </c>
      <c r="AY12" s="158"/>
      <c r="AZ12" s="158"/>
      <c r="BA12" s="162"/>
      <c r="BB12" s="159"/>
      <c r="BC12" s="158"/>
      <c r="BD12" s="158"/>
      <c r="BE12" s="158"/>
      <c r="BF12" s="162"/>
    </row>
    <row r="13" spans="2:58" x14ac:dyDescent="0.25">
      <c r="B13" s="276" t="s">
        <v>33</v>
      </c>
      <c r="C13" s="276"/>
      <c r="D13" s="225">
        <f t="shared" si="0"/>
        <v>1.2852941176470589</v>
      </c>
      <c r="E13" s="170">
        <f t="shared" ref="E13:L13" si="3">SUM(E8:E12)</f>
        <v>170</v>
      </c>
      <c r="F13" s="170">
        <f t="shared" si="3"/>
        <v>218.5</v>
      </c>
      <c r="G13" s="170">
        <f t="shared" si="3"/>
        <v>2</v>
      </c>
      <c r="H13" s="170">
        <f t="shared" si="3"/>
        <v>1</v>
      </c>
      <c r="I13" s="172">
        <f t="shared" si="3"/>
        <v>44</v>
      </c>
      <c r="J13" s="170">
        <f t="shared" si="3"/>
        <v>44</v>
      </c>
      <c r="K13" s="170">
        <f t="shared" si="3"/>
        <v>0</v>
      </c>
      <c r="L13" s="170">
        <f t="shared" si="3"/>
        <v>0</v>
      </c>
      <c r="M13" s="171"/>
      <c r="N13" s="172">
        <f>SUM(N8:N12)</f>
        <v>0</v>
      </c>
      <c r="O13" s="170">
        <f>SUM(O8:O12)</f>
        <v>0</v>
      </c>
      <c r="P13" s="170">
        <f>SUM(P8:P12)</f>
        <v>0</v>
      </c>
      <c r="Q13" s="170">
        <f>SUM(Q8:Q12)</f>
        <v>0</v>
      </c>
      <c r="R13" s="171"/>
      <c r="S13" s="172">
        <f>SUM(S8:S12)</f>
        <v>31</v>
      </c>
      <c r="T13" s="170">
        <f>SUM(T8:T12)</f>
        <v>31</v>
      </c>
      <c r="U13" s="170">
        <f>SUM(U8:U12)</f>
        <v>1</v>
      </c>
      <c r="V13" s="170">
        <f>SUM(V8:V12)</f>
        <v>1</v>
      </c>
      <c r="W13" s="173"/>
      <c r="X13" s="172">
        <f>SUM(X8:X12)</f>
        <v>12</v>
      </c>
      <c r="Y13" s="170">
        <f>SUM(Y8:Y12)</f>
        <v>12</v>
      </c>
      <c r="Z13" s="170">
        <f>SUM(Z8:Z12)</f>
        <v>0</v>
      </c>
      <c r="AA13" s="170">
        <f>SUM(AA8:AA12)</f>
        <v>0</v>
      </c>
      <c r="AB13" s="171"/>
      <c r="AC13" s="172">
        <f>SUM(AC8:AC12)</f>
        <v>50</v>
      </c>
      <c r="AD13" s="170">
        <f>SUM(AD8:AD12)</f>
        <v>95</v>
      </c>
      <c r="AE13" s="170">
        <f>SUM(AE8:AE12)</f>
        <v>0</v>
      </c>
      <c r="AF13" s="170">
        <f>SUM(AF8:AF12)</f>
        <v>0</v>
      </c>
      <c r="AG13" s="171"/>
      <c r="AH13" s="172">
        <f>SUM(AH8:AH12)</f>
        <v>6.5</v>
      </c>
      <c r="AI13" s="170">
        <f>SUM(AI8:AI12)</f>
        <v>9</v>
      </c>
      <c r="AJ13" s="170">
        <f>SUM(AJ8:AJ12)</f>
        <v>0</v>
      </c>
      <c r="AK13" s="170">
        <f>SUM(AK8:AK12)</f>
        <v>0</v>
      </c>
      <c r="AL13" s="171"/>
      <c r="AM13" s="172">
        <f>SUM(AM8:AM12)</f>
        <v>7.5</v>
      </c>
      <c r="AN13" s="170">
        <f>SUM(AN8:AN12)</f>
        <v>7.5</v>
      </c>
      <c r="AO13" s="170">
        <f>SUM(AO8:AO12)</f>
        <v>0</v>
      </c>
      <c r="AP13" s="170">
        <f>SUM(AP8:AP12)</f>
        <v>0</v>
      </c>
      <c r="AQ13" s="171"/>
      <c r="AR13" s="172">
        <f>SUM(AR8:AR12)</f>
        <v>4</v>
      </c>
      <c r="AS13" s="170">
        <f>SUM(AS8:AS12)</f>
        <v>5</v>
      </c>
      <c r="AT13" s="170">
        <f>SUM(AT8:AT12)</f>
        <v>1</v>
      </c>
      <c r="AU13" s="170">
        <f>SUM(AU8:AU12)</f>
        <v>0</v>
      </c>
      <c r="AV13" s="171"/>
      <c r="AW13" s="172">
        <f>SUM(AW8:AW12)</f>
        <v>15</v>
      </c>
      <c r="AX13" s="170">
        <f>SUM(AX8:AX12)</f>
        <v>15</v>
      </c>
      <c r="AY13" s="170">
        <f>SUM(AY8:AY12)</f>
        <v>0</v>
      </c>
      <c r="AZ13" s="170">
        <f>SUM(AZ8:AZ12)</f>
        <v>0</v>
      </c>
      <c r="BA13" s="171"/>
      <c r="BB13" s="172"/>
      <c r="BC13" s="170"/>
      <c r="BD13" s="170"/>
      <c r="BE13" s="170"/>
      <c r="BF13" s="171"/>
    </row>
    <row r="14" spans="2:58" ht="18.75" customHeight="1" x14ac:dyDescent="0.25">
      <c r="B14" s="227" t="s">
        <v>25</v>
      </c>
      <c r="C14" s="228">
        <f>C12+3</f>
        <v>45712</v>
      </c>
      <c r="D14" s="224">
        <f t="shared" si="0"/>
        <v>0.97684210526315784</v>
      </c>
      <c r="E14" s="157">
        <f t="shared" ref="E14:G18" si="4">SUM(I14,N14,S14,X14,AC14,AH14,AM14,AR14,AW14)</f>
        <v>118.75</v>
      </c>
      <c r="F14" s="157">
        <f t="shared" si="4"/>
        <v>116</v>
      </c>
      <c r="G14" s="157">
        <f t="shared" si="4"/>
        <v>0</v>
      </c>
      <c r="H14" s="157">
        <f>SUM(L14,Q14,V14,AA14,AF14,AK14,AP14,AU14,BA14)</f>
        <v>0</v>
      </c>
      <c r="I14" s="161">
        <v>33</v>
      </c>
      <c r="J14" s="158">
        <v>27</v>
      </c>
      <c r="K14" s="158"/>
      <c r="L14" s="158"/>
      <c r="M14" s="162" t="s">
        <v>34</v>
      </c>
      <c r="N14" s="161">
        <v>57</v>
      </c>
      <c r="O14" s="158">
        <v>57</v>
      </c>
      <c r="P14" s="158"/>
      <c r="Q14" s="158"/>
      <c r="R14" s="162"/>
      <c r="S14" s="161">
        <v>8</v>
      </c>
      <c r="T14" s="158">
        <v>8</v>
      </c>
      <c r="U14" s="158"/>
      <c r="V14" s="158"/>
      <c r="W14" s="162"/>
      <c r="X14" s="161">
        <f>5+1+4</f>
        <v>10</v>
      </c>
      <c r="Y14" s="158">
        <v>10</v>
      </c>
      <c r="Z14" s="158"/>
      <c r="AA14" s="158"/>
      <c r="AB14" s="162"/>
      <c r="AC14" s="161">
        <v>6</v>
      </c>
      <c r="AD14" s="158">
        <v>10</v>
      </c>
      <c r="AE14" s="158"/>
      <c r="AF14" s="158"/>
      <c r="AG14" s="162"/>
      <c r="AH14" s="161">
        <v>1.5</v>
      </c>
      <c r="AI14" s="158">
        <v>2</v>
      </c>
      <c r="AJ14" s="158"/>
      <c r="AK14" s="158"/>
      <c r="AL14" s="162"/>
      <c r="AM14" s="161">
        <v>0.25</v>
      </c>
      <c r="AN14" s="158">
        <v>0</v>
      </c>
      <c r="AO14" s="158"/>
      <c r="AP14" s="158"/>
      <c r="AQ14" s="162"/>
      <c r="AR14" s="159">
        <v>1</v>
      </c>
      <c r="AS14" s="158">
        <v>0</v>
      </c>
      <c r="AT14" s="158"/>
      <c r="AU14" s="158"/>
      <c r="AV14" s="162" t="s">
        <v>35</v>
      </c>
      <c r="AW14" s="159">
        <v>2</v>
      </c>
      <c r="AX14" s="158">
        <v>2</v>
      </c>
      <c r="AY14" s="158"/>
      <c r="AZ14" s="158"/>
      <c r="BA14" s="162"/>
      <c r="BB14" s="159">
        <v>1</v>
      </c>
      <c r="BC14" s="158">
        <v>1</v>
      </c>
      <c r="BD14" s="158"/>
      <c r="BE14" s="158"/>
      <c r="BF14" s="162"/>
    </row>
    <row r="15" spans="2:58" x14ac:dyDescent="0.25">
      <c r="B15" s="227" t="s">
        <v>26</v>
      </c>
      <c r="C15" s="228">
        <f>C14+1</f>
        <v>45713</v>
      </c>
      <c r="D15" s="224">
        <f t="shared" si="0"/>
        <v>0.84648187633262262</v>
      </c>
      <c r="E15" s="157">
        <f t="shared" si="4"/>
        <v>117.25</v>
      </c>
      <c r="F15" s="157">
        <f t="shared" si="4"/>
        <v>99.25</v>
      </c>
      <c r="G15" s="157">
        <f t="shared" si="4"/>
        <v>1</v>
      </c>
      <c r="H15" s="157">
        <f>SUM(L15,Q15,V15,AA15,AF15,AK15,AP15,AU15,BA15)</f>
        <v>1</v>
      </c>
      <c r="I15" s="161">
        <v>33</v>
      </c>
      <c r="J15" s="158">
        <v>17</v>
      </c>
      <c r="K15" s="158"/>
      <c r="L15" s="158"/>
      <c r="M15" s="162" t="s">
        <v>36</v>
      </c>
      <c r="N15" s="161">
        <v>57</v>
      </c>
      <c r="O15" s="158">
        <v>64</v>
      </c>
      <c r="P15" s="158"/>
      <c r="Q15" s="158"/>
      <c r="R15" s="248"/>
      <c r="S15" s="161">
        <v>8</v>
      </c>
      <c r="T15" s="158">
        <v>8</v>
      </c>
      <c r="U15" s="158">
        <v>1</v>
      </c>
      <c r="V15" s="158">
        <v>1</v>
      </c>
      <c r="W15" s="162"/>
      <c r="X15" s="161">
        <f>4+1+2</f>
        <v>7</v>
      </c>
      <c r="Y15" s="158">
        <v>7</v>
      </c>
      <c r="Z15" s="158"/>
      <c r="AA15" s="158"/>
      <c r="AB15" s="162"/>
      <c r="AC15" s="161">
        <v>8</v>
      </c>
      <c r="AD15" s="158">
        <v>2</v>
      </c>
      <c r="AE15" s="158"/>
      <c r="AF15" s="158"/>
      <c r="AG15" s="162" t="s">
        <v>37</v>
      </c>
      <c r="AH15" s="161">
        <v>3</v>
      </c>
      <c r="AI15" s="158">
        <v>0</v>
      </c>
      <c r="AJ15" s="158"/>
      <c r="AK15" s="158"/>
      <c r="AL15" s="162" t="s">
        <v>106</v>
      </c>
      <c r="AM15" s="161">
        <v>0.25</v>
      </c>
      <c r="AN15" s="158">
        <v>0.25</v>
      </c>
      <c r="AO15" s="158"/>
      <c r="AP15" s="158"/>
      <c r="AQ15" s="162"/>
      <c r="AR15" s="159">
        <v>1</v>
      </c>
      <c r="AS15" s="158">
        <v>1</v>
      </c>
      <c r="AT15" s="158"/>
      <c r="AU15" s="158"/>
      <c r="AV15" s="162"/>
      <c r="AW15" s="159">
        <v>0</v>
      </c>
      <c r="AX15" s="158">
        <v>0</v>
      </c>
      <c r="AY15" s="158"/>
      <c r="AZ15" s="158"/>
      <c r="BA15" s="162" t="s">
        <v>38</v>
      </c>
      <c r="BB15" s="159">
        <v>1</v>
      </c>
      <c r="BC15" s="158">
        <v>1</v>
      </c>
      <c r="BD15" s="158"/>
      <c r="BE15" s="158"/>
      <c r="BF15" s="162"/>
    </row>
    <row r="16" spans="2:58" x14ac:dyDescent="0.25">
      <c r="B16" s="227" t="s">
        <v>27</v>
      </c>
      <c r="C16" s="228">
        <f>C15+1</f>
        <v>45714</v>
      </c>
      <c r="D16" s="224">
        <f t="shared" si="0"/>
        <v>0.62095238095238092</v>
      </c>
      <c r="E16" s="157">
        <f t="shared" si="4"/>
        <v>131.25</v>
      </c>
      <c r="F16" s="157">
        <f t="shared" si="4"/>
        <v>81.5</v>
      </c>
      <c r="G16" s="157">
        <f t="shared" si="4"/>
        <v>0</v>
      </c>
      <c r="H16" s="157">
        <f>SUM(L16,Q16,V16,AA16,AF16,AK16,AP16,AU16,BA16)</f>
        <v>0</v>
      </c>
      <c r="I16" s="161">
        <v>33</v>
      </c>
      <c r="J16" s="158">
        <v>0</v>
      </c>
      <c r="K16" s="158"/>
      <c r="L16" s="158"/>
      <c r="M16" s="162" t="s">
        <v>119</v>
      </c>
      <c r="N16" s="161">
        <v>73</v>
      </c>
      <c r="O16" s="158">
        <v>64</v>
      </c>
      <c r="P16" s="158"/>
      <c r="Q16" s="158"/>
      <c r="R16" s="162"/>
      <c r="S16" s="161">
        <v>4</v>
      </c>
      <c r="T16" s="158">
        <v>4</v>
      </c>
      <c r="U16" s="158"/>
      <c r="V16" s="158"/>
      <c r="W16" s="162"/>
      <c r="X16" s="161">
        <f>6+3+2</f>
        <v>11</v>
      </c>
      <c r="Y16" s="158">
        <v>11</v>
      </c>
      <c r="Z16" s="158"/>
      <c r="AA16" s="158"/>
      <c r="AB16" s="162"/>
      <c r="AC16" s="161">
        <v>8</v>
      </c>
      <c r="AD16" s="158"/>
      <c r="AE16" s="158"/>
      <c r="AF16" s="158"/>
      <c r="AG16" s="162" t="s">
        <v>37</v>
      </c>
      <c r="AH16" s="161">
        <v>1.25</v>
      </c>
      <c r="AI16" s="158">
        <v>1.25</v>
      </c>
      <c r="AJ16" s="158"/>
      <c r="AK16" s="158"/>
      <c r="AL16" s="162"/>
      <c r="AM16" s="161">
        <v>0</v>
      </c>
      <c r="AN16" s="158">
        <v>0.25</v>
      </c>
      <c r="AO16" s="158"/>
      <c r="AP16" s="158"/>
      <c r="AQ16" s="162"/>
      <c r="AR16" s="159">
        <v>1</v>
      </c>
      <c r="AS16" s="158">
        <v>1</v>
      </c>
      <c r="AT16" s="158"/>
      <c r="AU16" s="158"/>
      <c r="AV16" s="162"/>
      <c r="AW16" s="159">
        <v>0</v>
      </c>
      <c r="AX16" s="158">
        <v>0</v>
      </c>
      <c r="AY16" s="158"/>
      <c r="AZ16" s="158"/>
      <c r="BA16" s="162" t="s">
        <v>38</v>
      </c>
      <c r="BB16" s="159">
        <v>2</v>
      </c>
      <c r="BC16" s="158">
        <v>2</v>
      </c>
      <c r="BD16" s="158"/>
      <c r="BE16" s="158"/>
      <c r="BF16" s="162"/>
    </row>
    <row r="17" spans="2:58" x14ac:dyDescent="0.25">
      <c r="B17" s="227" t="s">
        <v>26</v>
      </c>
      <c r="C17" s="228">
        <f>C16+1</f>
        <v>45715</v>
      </c>
      <c r="D17" s="224">
        <f t="shared" si="0"/>
        <v>1.1100196463654224</v>
      </c>
      <c r="E17" s="157">
        <f t="shared" si="4"/>
        <v>127.25</v>
      </c>
      <c r="F17" s="157">
        <f t="shared" si="4"/>
        <v>141.25</v>
      </c>
      <c r="G17" s="157">
        <f t="shared" si="4"/>
        <v>0</v>
      </c>
      <c r="H17" s="157">
        <f>SUM(L17,Q17,V17,AA17,AF17,AK17,AP17,AU17,BA17)</f>
        <v>2</v>
      </c>
      <c r="I17" s="161">
        <v>33</v>
      </c>
      <c r="J17" s="158">
        <v>22</v>
      </c>
      <c r="K17" s="158"/>
      <c r="L17" s="158"/>
      <c r="M17" s="162"/>
      <c r="N17" s="161">
        <v>72</v>
      </c>
      <c r="O17" s="158">
        <v>98</v>
      </c>
      <c r="P17" s="158"/>
      <c r="Q17" s="158"/>
      <c r="R17" s="162"/>
      <c r="S17" s="161">
        <v>4</v>
      </c>
      <c r="T17" s="158">
        <v>4</v>
      </c>
      <c r="U17" s="158"/>
      <c r="V17" s="158"/>
      <c r="W17" s="162"/>
      <c r="X17" s="161">
        <f>5+3+0</f>
        <v>8</v>
      </c>
      <c r="Y17" s="158">
        <v>8</v>
      </c>
      <c r="Z17" s="158"/>
      <c r="AA17" s="158"/>
      <c r="AB17" s="162"/>
      <c r="AC17" s="161">
        <v>7</v>
      </c>
      <c r="AD17" s="158">
        <v>7</v>
      </c>
      <c r="AE17" s="158"/>
      <c r="AF17" s="158">
        <v>2</v>
      </c>
      <c r="AG17" s="162"/>
      <c r="AH17" s="161">
        <v>2.25</v>
      </c>
      <c r="AI17" s="158">
        <v>1.25</v>
      </c>
      <c r="AJ17" s="158"/>
      <c r="AK17" s="158"/>
      <c r="AL17" s="162"/>
      <c r="AM17" s="161">
        <v>1</v>
      </c>
      <c r="AN17" s="158">
        <v>1</v>
      </c>
      <c r="AO17" s="158"/>
      <c r="AP17" s="158"/>
      <c r="AQ17" s="162"/>
      <c r="AR17" s="159">
        <v>0</v>
      </c>
      <c r="AS17" s="158">
        <v>0</v>
      </c>
      <c r="AT17" s="158"/>
      <c r="AU17" s="158"/>
      <c r="AV17" s="162"/>
      <c r="AW17" s="159">
        <v>0</v>
      </c>
      <c r="AX17" s="158">
        <v>0</v>
      </c>
      <c r="AY17" s="158"/>
      <c r="AZ17" s="158"/>
      <c r="BA17" s="162" t="s">
        <v>38</v>
      </c>
      <c r="BB17" s="159"/>
      <c r="BC17" s="158"/>
      <c r="BD17" s="158"/>
      <c r="BE17" s="158"/>
      <c r="BF17" s="162"/>
    </row>
    <row r="18" spans="2:58" x14ac:dyDescent="0.25">
      <c r="B18" s="227" t="s">
        <v>32</v>
      </c>
      <c r="C18" s="228">
        <f>C17+1</f>
        <v>45716</v>
      </c>
      <c r="D18" s="224">
        <f t="shared" si="0"/>
        <v>1.3809523809523809</v>
      </c>
      <c r="E18" s="157">
        <f t="shared" si="4"/>
        <v>99.75</v>
      </c>
      <c r="F18" s="157">
        <f t="shared" si="4"/>
        <v>137.75</v>
      </c>
      <c r="G18" s="157">
        <f t="shared" si="4"/>
        <v>2</v>
      </c>
      <c r="H18" s="157">
        <f>SUM(L18,Q18,V18,AA18,AF18,AK18,AP18,AU18,BA18)</f>
        <v>3</v>
      </c>
      <c r="I18" s="161">
        <v>33</v>
      </c>
      <c r="J18" s="158">
        <v>64</v>
      </c>
      <c r="K18" s="158"/>
      <c r="L18" s="158"/>
      <c r="M18" s="162"/>
      <c r="N18" s="161">
        <v>37</v>
      </c>
      <c r="O18" s="158">
        <v>47</v>
      </c>
      <c r="P18" s="158">
        <v>1</v>
      </c>
      <c r="Q18" s="158">
        <v>1</v>
      </c>
      <c r="R18" s="162"/>
      <c r="S18" s="161">
        <v>4</v>
      </c>
      <c r="T18" s="158">
        <v>4</v>
      </c>
      <c r="U18" s="158"/>
      <c r="V18" s="158"/>
      <c r="W18" s="162"/>
      <c r="X18" s="161">
        <f>7+4+3</f>
        <v>14</v>
      </c>
      <c r="Y18" s="158">
        <v>14</v>
      </c>
      <c r="Z18" s="158"/>
      <c r="AA18" s="158"/>
      <c r="AB18" s="162"/>
      <c r="AC18" s="161">
        <v>10</v>
      </c>
      <c r="AD18" s="158">
        <v>6</v>
      </c>
      <c r="AE18" s="158"/>
      <c r="AF18" s="158">
        <v>1</v>
      </c>
      <c r="AG18" s="162"/>
      <c r="AH18" s="161">
        <v>1.25</v>
      </c>
      <c r="AI18" s="158">
        <v>2.25</v>
      </c>
      <c r="AJ18" s="158"/>
      <c r="AK18" s="158"/>
      <c r="AL18" s="162"/>
      <c r="AM18" s="161">
        <v>0.5</v>
      </c>
      <c r="AN18" s="158">
        <v>0.5</v>
      </c>
      <c r="AO18" s="158"/>
      <c r="AP18" s="158"/>
      <c r="AQ18" s="162"/>
      <c r="AR18" s="159">
        <v>0</v>
      </c>
      <c r="AS18" s="158">
        <v>0</v>
      </c>
      <c r="AT18" s="158">
        <v>1</v>
      </c>
      <c r="AU18" s="158">
        <v>1</v>
      </c>
      <c r="AV18" s="162"/>
      <c r="AW18" s="159">
        <v>0</v>
      </c>
      <c r="AX18" s="158">
        <v>0</v>
      </c>
      <c r="AY18" s="158"/>
      <c r="AZ18" s="158"/>
      <c r="BA18" s="162" t="s">
        <v>38</v>
      </c>
      <c r="BB18" s="159">
        <v>1</v>
      </c>
      <c r="BC18" s="158">
        <v>1</v>
      </c>
      <c r="BD18" s="158"/>
      <c r="BE18" s="158"/>
      <c r="BF18" s="162" t="s">
        <v>39</v>
      </c>
    </row>
    <row r="19" spans="2:58" x14ac:dyDescent="0.25">
      <c r="B19" s="276" t="s">
        <v>33</v>
      </c>
      <c r="C19" s="276"/>
      <c r="D19" s="225">
        <f t="shared" si="0"/>
        <v>0.96886832141354651</v>
      </c>
      <c r="E19" s="170">
        <f t="shared" ref="E19:L19" si="5">SUM(E14:E18)</f>
        <v>594.25</v>
      </c>
      <c r="F19" s="170">
        <f t="shared" si="5"/>
        <v>575.75</v>
      </c>
      <c r="G19" s="170">
        <f t="shared" si="5"/>
        <v>3</v>
      </c>
      <c r="H19" s="170">
        <f t="shared" si="5"/>
        <v>6</v>
      </c>
      <c r="I19" s="172">
        <f t="shared" si="5"/>
        <v>165</v>
      </c>
      <c r="J19" s="170">
        <f t="shared" si="5"/>
        <v>130</v>
      </c>
      <c r="K19" s="170">
        <f t="shared" si="5"/>
        <v>0</v>
      </c>
      <c r="L19" s="170">
        <f t="shared" si="5"/>
        <v>0</v>
      </c>
      <c r="M19" s="171"/>
      <c r="N19" s="172">
        <f>SUM(N14:N18)</f>
        <v>296</v>
      </c>
      <c r="O19" s="170">
        <f>SUM(O14:O18)</f>
        <v>330</v>
      </c>
      <c r="P19" s="170">
        <f>SUM(P14:P18)</f>
        <v>1</v>
      </c>
      <c r="Q19" s="170">
        <f>SUM(Q14:Q18)</f>
        <v>1</v>
      </c>
      <c r="R19" s="247">
        <f>O19/N19</f>
        <v>1.1148648648648649</v>
      </c>
      <c r="S19" s="172">
        <f>SUM(S14:S18)</f>
        <v>28</v>
      </c>
      <c r="T19" s="170">
        <f>SUM(T14:T18)</f>
        <v>28</v>
      </c>
      <c r="U19" s="170">
        <f>SUM(U14:U18)</f>
        <v>1</v>
      </c>
      <c r="V19" s="170">
        <f>SUM(V14:V18)</f>
        <v>1</v>
      </c>
      <c r="W19" s="173"/>
      <c r="X19" s="172">
        <f>SUM(X14:X18)</f>
        <v>50</v>
      </c>
      <c r="Y19" s="170">
        <f>SUM(Y14:Y18)</f>
        <v>50</v>
      </c>
      <c r="Z19" s="170">
        <f>SUM(Z14:Z18)</f>
        <v>0</v>
      </c>
      <c r="AA19" s="170">
        <f>SUM(AA14:AA18)</f>
        <v>0</v>
      </c>
      <c r="AB19" s="171"/>
      <c r="AC19" s="172">
        <f>SUM(AC14:AC18)</f>
        <v>39</v>
      </c>
      <c r="AD19" s="170">
        <f>SUM(AD14:AD18)</f>
        <v>25</v>
      </c>
      <c r="AE19" s="170">
        <f>SUM(AE14:AE18)</f>
        <v>0</v>
      </c>
      <c r="AF19" s="170">
        <f>SUM(AF14:AF18)</f>
        <v>3</v>
      </c>
      <c r="AG19" s="171"/>
      <c r="AH19" s="172">
        <f>SUM(AH14:AH18)</f>
        <v>9.25</v>
      </c>
      <c r="AI19" s="170">
        <f>SUM(AI14:AI18)</f>
        <v>6.75</v>
      </c>
      <c r="AJ19" s="170">
        <f>SUM(AJ14:AJ18)</f>
        <v>0</v>
      </c>
      <c r="AK19" s="170">
        <f>SUM(AK14:AK18)</f>
        <v>0</v>
      </c>
      <c r="AL19" s="171"/>
      <c r="AM19" s="172">
        <f>SUM(AM14:AM18)</f>
        <v>2</v>
      </c>
      <c r="AN19" s="170">
        <f>SUM(AN14:AN18)</f>
        <v>2</v>
      </c>
      <c r="AO19" s="170">
        <f>SUM(AO14:AO18)</f>
        <v>0</v>
      </c>
      <c r="AP19" s="170">
        <f>SUM(AP14:AP18)</f>
        <v>0</v>
      </c>
      <c r="AQ19" s="171"/>
      <c r="AR19" s="172">
        <f>SUM(AR14:AR18)</f>
        <v>3</v>
      </c>
      <c r="AS19" s="170">
        <f>SUM(AS14:AS18)</f>
        <v>2</v>
      </c>
      <c r="AT19" s="170">
        <f>SUM(AT14:AT18)</f>
        <v>1</v>
      </c>
      <c r="AU19" s="170">
        <f>SUM(AU14:AU18)</f>
        <v>1</v>
      </c>
      <c r="AV19" s="171"/>
      <c r="AW19" s="172">
        <f>SUM(AW14:AW18)</f>
        <v>2</v>
      </c>
      <c r="AX19" s="170">
        <f>SUM(AX14:AX18)</f>
        <v>2</v>
      </c>
      <c r="AY19" s="170">
        <f>SUM(AY14:AY18)</f>
        <v>0</v>
      </c>
      <c r="AZ19" s="170">
        <f>SUM(AZ14:AZ18)</f>
        <v>0</v>
      </c>
      <c r="BA19" s="171"/>
      <c r="BB19" s="172">
        <f>SUM(BB14:BB18)</f>
        <v>5</v>
      </c>
      <c r="BC19" s="170">
        <f>SUM(BC14:BC18)</f>
        <v>5</v>
      </c>
      <c r="BD19" s="170">
        <f>SUM(BD14:BD18)</f>
        <v>0</v>
      </c>
      <c r="BE19" s="170">
        <f>SUM(BE14:BE18)</f>
        <v>0</v>
      </c>
      <c r="BF19" s="171"/>
    </row>
    <row r="20" spans="2:58" x14ac:dyDescent="0.25">
      <c r="B20" s="227" t="s">
        <v>25</v>
      </c>
      <c r="C20" s="228">
        <f>C18+3</f>
        <v>45719</v>
      </c>
      <c r="D20" s="224">
        <f t="shared" si="0"/>
        <v>1.0213849287169043</v>
      </c>
      <c r="E20" s="157">
        <f t="shared" ref="E20:G24" si="6">SUM(I20,N20,S20,X20,AC20,AH20,AM20,AR20,AW20)</f>
        <v>245.5</v>
      </c>
      <c r="F20" s="157">
        <f t="shared" si="6"/>
        <v>250.75</v>
      </c>
      <c r="G20" s="157">
        <f t="shared" si="6"/>
        <v>1</v>
      </c>
      <c r="H20" s="157">
        <f>SUM(L20,Q20,V20,AA20,AF20,AK20,AP20,AU20,BA20)</f>
        <v>2</v>
      </c>
      <c r="I20" s="161">
        <v>44</v>
      </c>
      <c r="J20" s="158">
        <v>68</v>
      </c>
      <c r="K20" s="158"/>
      <c r="L20" s="158"/>
      <c r="M20" s="162"/>
      <c r="N20" s="161">
        <v>142</v>
      </c>
      <c r="O20" s="158">
        <v>123</v>
      </c>
      <c r="P20" s="158">
        <v>1</v>
      </c>
      <c r="Q20" s="158">
        <v>1</v>
      </c>
      <c r="R20" s="162"/>
      <c r="S20" s="161">
        <v>6</v>
      </c>
      <c r="T20" s="158">
        <v>6</v>
      </c>
      <c r="U20" s="158"/>
      <c r="V20" s="158"/>
      <c r="W20" s="162" t="s">
        <v>40</v>
      </c>
      <c r="X20" s="161">
        <f>5+3+4</f>
        <v>12</v>
      </c>
      <c r="Y20" s="158">
        <v>12</v>
      </c>
      <c r="Z20" s="158"/>
      <c r="AA20" s="158"/>
      <c r="AB20" s="162"/>
      <c r="AC20" s="161">
        <v>39</v>
      </c>
      <c r="AD20" s="158">
        <v>39</v>
      </c>
      <c r="AE20" s="158"/>
      <c r="AF20" s="158"/>
      <c r="AG20" s="162"/>
      <c r="AH20" s="161">
        <v>1.25</v>
      </c>
      <c r="AI20" s="158">
        <v>1.5</v>
      </c>
      <c r="AJ20" s="158">
        <v>0</v>
      </c>
      <c r="AK20" s="158">
        <v>1</v>
      </c>
      <c r="AL20" s="162" t="s">
        <v>41</v>
      </c>
      <c r="AM20" s="161">
        <v>0.25</v>
      </c>
      <c r="AN20" s="158">
        <v>0.25</v>
      </c>
      <c r="AO20" s="158"/>
      <c r="AP20" s="158"/>
      <c r="AQ20" s="162"/>
      <c r="AR20" s="159">
        <v>1</v>
      </c>
      <c r="AS20" s="158">
        <v>1</v>
      </c>
      <c r="AT20" s="158"/>
      <c r="AU20" s="158"/>
      <c r="AV20" s="162"/>
      <c r="AW20" s="159">
        <v>0</v>
      </c>
      <c r="AX20" s="158">
        <v>0</v>
      </c>
      <c r="AY20" s="158"/>
      <c r="AZ20" s="158"/>
      <c r="BA20" s="162" t="s">
        <v>42</v>
      </c>
      <c r="BB20" s="159"/>
      <c r="BC20" s="158"/>
      <c r="BD20" s="158">
        <v>1</v>
      </c>
      <c r="BE20" s="158">
        <v>1</v>
      </c>
      <c r="BF20" s="162"/>
    </row>
    <row r="21" spans="2:58" x14ac:dyDescent="0.25">
      <c r="B21" s="227" t="s">
        <v>26</v>
      </c>
      <c r="C21" s="228">
        <f>C20+1</f>
        <v>45720</v>
      </c>
      <c r="D21" s="224">
        <f t="shared" si="0"/>
        <v>1.0130199856780158</v>
      </c>
      <c r="E21" s="157">
        <f t="shared" si="6"/>
        <v>153.61000000000001</v>
      </c>
      <c r="F21" s="157">
        <f t="shared" si="6"/>
        <v>155.61000000000001</v>
      </c>
      <c r="G21" s="157">
        <f t="shared" si="6"/>
        <v>2</v>
      </c>
      <c r="H21" s="157">
        <f>SUM(L21,Q21,V21,AA21,AF21,AK21,AP21,AU21,BA21)</f>
        <v>2</v>
      </c>
      <c r="I21" s="161">
        <v>44</v>
      </c>
      <c r="J21" s="158">
        <v>55</v>
      </c>
      <c r="K21" s="158">
        <v>1</v>
      </c>
      <c r="L21" s="158">
        <v>1</v>
      </c>
      <c r="M21" s="162" t="s">
        <v>43</v>
      </c>
      <c r="N21" s="161">
        <v>79</v>
      </c>
      <c r="O21" s="158">
        <v>74</v>
      </c>
      <c r="P21" s="158"/>
      <c r="Q21" s="158"/>
      <c r="R21" s="162"/>
      <c r="S21" s="161">
        <v>5</v>
      </c>
      <c r="T21" s="158">
        <v>5</v>
      </c>
      <c r="U21" s="158">
        <v>1</v>
      </c>
      <c r="V21" s="158">
        <v>1</v>
      </c>
      <c r="W21" s="162" t="s">
        <v>40</v>
      </c>
      <c r="X21" s="161">
        <f>2+4+2</f>
        <v>8</v>
      </c>
      <c r="Y21" s="158">
        <v>8</v>
      </c>
      <c r="Z21" s="158"/>
      <c r="AA21" s="158"/>
      <c r="AB21" s="162"/>
      <c r="AC21" s="161">
        <v>12</v>
      </c>
      <c r="AD21" s="158">
        <v>8</v>
      </c>
      <c r="AE21" s="158"/>
      <c r="AF21" s="158"/>
      <c r="AG21" s="162" t="s">
        <v>44</v>
      </c>
      <c r="AH21" s="161">
        <v>1.36</v>
      </c>
      <c r="AI21" s="158">
        <v>1.36</v>
      </c>
      <c r="AJ21" s="158"/>
      <c r="AK21" s="158"/>
      <c r="AL21" s="162"/>
      <c r="AM21" s="161">
        <v>0.25</v>
      </c>
      <c r="AN21" s="158">
        <v>0.25</v>
      </c>
      <c r="AO21" s="158"/>
      <c r="AP21" s="158"/>
      <c r="AQ21" s="162"/>
      <c r="AR21" s="159">
        <v>1</v>
      </c>
      <c r="AS21" s="158">
        <v>1</v>
      </c>
      <c r="AT21" s="158"/>
      <c r="AU21" s="158"/>
      <c r="AV21" s="162"/>
      <c r="AW21" s="159">
        <v>3</v>
      </c>
      <c r="AX21" s="158">
        <v>3</v>
      </c>
      <c r="AY21" s="158"/>
      <c r="AZ21" s="158"/>
      <c r="BA21" s="162"/>
      <c r="BB21" s="159">
        <v>2</v>
      </c>
      <c r="BC21" s="158">
        <v>2</v>
      </c>
      <c r="BD21" s="158">
        <v>1</v>
      </c>
      <c r="BE21" s="158">
        <v>1</v>
      </c>
      <c r="BF21" s="162" t="s">
        <v>45</v>
      </c>
    </row>
    <row r="22" spans="2:58" x14ac:dyDescent="0.25">
      <c r="B22" s="227" t="s">
        <v>27</v>
      </c>
      <c r="C22" s="228">
        <f>C21+1</f>
        <v>45721</v>
      </c>
      <c r="D22" s="224">
        <f t="shared" si="0"/>
        <v>1.0066520321958359</v>
      </c>
      <c r="E22" s="157">
        <f t="shared" si="6"/>
        <v>150.33000000000001</v>
      </c>
      <c r="F22" s="157">
        <f t="shared" si="6"/>
        <v>151.33000000000001</v>
      </c>
      <c r="G22" s="157">
        <f t="shared" si="6"/>
        <v>0</v>
      </c>
      <c r="H22" s="157">
        <f>SUM(L22,Q22,V22,AA22,AF22,AK22,AP22,AU22,BA22)</f>
        <v>0</v>
      </c>
      <c r="I22" s="161">
        <v>44</v>
      </c>
      <c r="J22" s="158">
        <v>44</v>
      </c>
      <c r="K22" s="158"/>
      <c r="L22" s="158"/>
      <c r="M22" s="162"/>
      <c r="N22" s="161">
        <v>73</v>
      </c>
      <c r="O22" s="158">
        <v>74</v>
      </c>
      <c r="P22" s="158"/>
      <c r="Q22" s="158"/>
      <c r="R22" s="162"/>
      <c r="S22" s="161">
        <v>7</v>
      </c>
      <c r="T22" s="158">
        <v>7</v>
      </c>
      <c r="U22" s="158"/>
      <c r="V22" s="158"/>
      <c r="W22" s="162" t="s">
        <v>40</v>
      </c>
      <c r="X22" s="161">
        <f>2+4+1</f>
        <v>7</v>
      </c>
      <c r="Y22" s="158">
        <v>7</v>
      </c>
      <c r="Z22" s="158"/>
      <c r="AA22" s="158"/>
      <c r="AB22" s="162"/>
      <c r="AC22" s="161">
        <v>10</v>
      </c>
      <c r="AD22" s="158">
        <v>9</v>
      </c>
      <c r="AE22" s="158"/>
      <c r="AF22" s="158"/>
      <c r="AG22" s="162"/>
      <c r="AH22" s="161">
        <v>3.33</v>
      </c>
      <c r="AI22" s="158">
        <v>4.33</v>
      </c>
      <c r="AJ22" s="158"/>
      <c r="AK22" s="158"/>
      <c r="AL22" s="162"/>
      <c r="AM22" s="161">
        <v>1</v>
      </c>
      <c r="AN22" s="158">
        <v>1</v>
      </c>
      <c r="AO22" s="158"/>
      <c r="AP22" s="158"/>
      <c r="AQ22" s="162"/>
      <c r="AR22" s="159">
        <v>1</v>
      </c>
      <c r="AS22" s="158">
        <v>1</v>
      </c>
      <c r="AT22" s="158"/>
      <c r="AU22" s="158"/>
      <c r="AV22" s="162"/>
      <c r="AW22" s="159">
        <v>4</v>
      </c>
      <c r="AX22" s="158">
        <v>4</v>
      </c>
      <c r="AY22" s="158"/>
      <c r="AZ22" s="158"/>
      <c r="BA22" s="162"/>
      <c r="BB22" s="159">
        <v>1</v>
      </c>
      <c r="BC22" s="158">
        <v>1</v>
      </c>
      <c r="BD22" s="158"/>
      <c r="BE22" s="158"/>
      <c r="BF22" s="162"/>
    </row>
    <row r="23" spans="2:58" x14ac:dyDescent="0.25">
      <c r="B23" s="227" t="s">
        <v>26</v>
      </c>
      <c r="C23" s="228">
        <f>C22+1</f>
        <v>45722</v>
      </c>
      <c r="D23" s="224">
        <f t="shared" si="0"/>
        <v>1.2982225933436717</v>
      </c>
      <c r="E23" s="157">
        <f t="shared" si="6"/>
        <v>83.83</v>
      </c>
      <c r="F23" s="157">
        <f t="shared" si="6"/>
        <v>108.83</v>
      </c>
      <c r="G23" s="157">
        <f t="shared" si="6"/>
        <v>3</v>
      </c>
      <c r="H23" s="157">
        <f>SUM(L23,Q23,V23,AA23,AF23,AK23,AP23,AU23,BA23)</f>
        <v>2</v>
      </c>
      <c r="I23" s="161">
        <v>44</v>
      </c>
      <c r="J23" s="158">
        <v>44</v>
      </c>
      <c r="K23" s="158">
        <v>1</v>
      </c>
      <c r="L23" s="158">
        <v>1</v>
      </c>
      <c r="M23" s="162"/>
      <c r="N23" s="161">
        <v>14</v>
      </c>
      <c r="O23" s="158">
        <v>42</v>
      </c>
      <c r="P23" s="158"/>
      <c r="Q23" s="158"/>
      <c r="R23" s="162"/>
      <c r="S23" s="161">
        <v>9</v>
      </c>
      <c r="T23" s="158">
        <v>9</v>
      </c>
      <c r="U23" s="158"/>
      <c r="V23" s="158"/>
      <c r="W23" s="162" t="s">
        <v>40</v>
      </c>
      <c r="X23" s="161">
        <f>2+0+2</f>
        <v>4</v>
      </c>
      <c r="Y23" s="158">
        <v>4</v>
      </c>
      <c r="Z23" s="158">
        <v>1</v>
      </c>
      <c r="AA23" s="158">
        <v>1</v>
      </c>
      <c r="AB23" s="162"/>
      <c r="AC23" s="161">
        <v>8</v>
      </c>
      <c r="AD23" s="158">
        <v>4</v>
      </c>
      <c r="AE23" s="158"/>
      <c r="AF23" s="158"/>
      <c r="AG23" s="162" t="s">
        <v>46</v>
      </c>
      <c r="AH23" s="161">
        <v>0.33</v>
      </c>
      <c r="AI23" s="158">
        <v>1.33</v>
      </c>
      <c r="AJ23" s="158">
        <v>1</v>
      </c>
      <c r="AK23" s="158">
        <v>0</v>
      </c>
      <c r="AL23" s="162" t="s">
        <v>120</v>
      </c>
      <c r="AM23" s="161">
        <v>0.5</v>
      </c>
      <c r="AN23" s="158">
        <v>0.5</v>
      </c>
      <c r="AO23" s="158"/>
      <c r="AP23" s="158"/>
      <c r="AQ23" s="162"/>
      <c r="AR23" s="159">
        <v>1</v>
      </c>
      <c r="AS23" s="158">
        <v>1</v>
      </c>
      <c r="AT23" s="158"/>
      <c r="AU23" s="158"/>
      <c r="AV23" s="162"/>
      <c r="AW23" s="159">
        <v>3</v>
      </c>
      <c r="AX23" s="158">
        <v>3</v>
      </c>
      <c r="AY23" s="158"/>
      <c r="AZ23" s="158"/>
      <c r="BA23" s="162"/>
      <c r="BB23" s="159">
        <v>5</v>
      </c>
      <c r="BC23" s="158"/>
      <c r="BD23" s="158"/>
      <c r="BE23" s="158"/>
      <c r="BF23" s="162"/>
    </row>
    <row r="24" spans="2:58" x14ac:dyDescent="0.25">
      <c r="B24" s="227" t="s">
        <v>32</v>
      </c>
      <c r="C24" s="228">
        <f>C23+1</f>
        <v>45723</v>
      </c>
      <c r="D24" s="224">
        <f t="shared" si="0"/>
        <v>0</v>
      </c>
      <c r="E24" s="157">
        <f t="shared" si="6"/>
        <v>79.75</v>
      </c>
      <c r="F24" s="157">
        <f t="shared" si="6"/>
        <v>0</v>
      </c>
      <c r="G24" s="157">
        <f t="shared" si="6"/>
        <v>6</v>
      </c>
      <c r="H24" s="157">
        <f>SUM(L24,Q24,V24,AA24,AF24,AK24,AP24,AU24,BA24)</f>
        <v>0</v>
      </c>
      <c r="I24" s="161">
        <v>44</v>
      </c>
      <c r="J24" s="158"/>
      <c r="K24" s="158"/>
      <c r="L24" s="158"/>
      <c r="M24" s="162"/>
      <c r="N24" s="161">
        <v>12</v>
      </c>
      <c r="O24" s="158"/>
      <c r="P24" s="158">
        <v>2</v>
      </c>
      <c r="Q24" s="158"/>
      <c r="R24" s="162"/>
      <c r="S24" s="161">
        <v>7</v>
      </c>
      <c r="T24" s="158"/>
      <c r="U24" s="158">
        <v>1</v>
      </c>
      <c r="V24" s="158"/>
      <c r="W24" s="166"/>
      <c r="X24" s="161">
        <f>1+0+0</f>
        <v>1</v>
      </c>
      <c r="Y24" s="158"/>
      <c r="Z24" s="158"/>
      <c r="AA24" s="158"/>
      <c r="AB24" s="162"/>
      <c r="AC24" s="161">
        <v>13</v>
      </c>
      <c r="AD24" s="158"/>
      <c r="AE24" s="158"/>
      <c r="AF24" s="158"/>
      <c r="AG24" s="162"/>
      <c r="AH24" s="161">
        <v>0.25</v>
      </c>
      <c r="AI24" s="158"/>
      <c r="AJ24" s="158">
        <v>1</v>
      </c>
      <c r="AK24" s="158"/>
      <c r="AL24" s="162"/>
      <c r="AM24" s="161">
        <v>0.5</v>
      </c>
      <c r="AN24" s="158"/>
      <c r="AO24" s="158"/>
      <c r="AP24" s="158"/>
      <c r="AQ24" s="162"/>
      <c r="AR24" s="159"/>
      <c r="AS24" s="158"/>
      <c r="AT24" s="158">
        <v>1</v>
      </c>
      <c r="AU24" s="158"/>
      <c r="AV24" s="162"/>
      <c r="AW24" s="159">
        <v>2</v>
      </c>
      <c r="AX24" s="158"/>
      <c r="AY24" s="158">
        <v>1</v>
      </c>
      <c r="AZ24" s="158"/>
      <c r="BA24" s="162"/>
      <c r="BB24" s="159"/>
      <c r="BC24" s="158"/>
      <c r="BD24" s="158"/>
      <c r="BE24" s="158"/>
      <c r="BF24" s="162"/>
    </row>
    <row r="25" spans="2:58" x14ac:dyDescent="0.25">
      <c r="B25" s="276" t="s">
        <v>33</v>
      </c>
      <c r="C25" s="276"/>
      <c r="D25" s="225">
        <f t="shared" si="0"/>
        <v>0.93478443802417888</v>
      </c>
      <c r="E25" s="170">
        <f t="shared" ref="E25:L25" si="7">SUM(E20:E24)</f>
        <v>713.0200000000001</v>
      </c>
      <c r="F25" s="170">
        <f t="shared" si="7"/>
        <v>666.5200000000001</v>
      </c>
      <c r="G25" s="170">
        <f t="shared" si="7"/>
        <v>12</v>
      </c>
      <c r="H25" s="170">
        <f t="shared" si="7"/>
        <v>6</v>
      </c>
      <c r="I25" s="172">
        <f t="shared" si="7"/>
        <v>220</v>
      </c>
      <c r="J25" s="170">
        <f t="shared" si="7"/>
        <v>211</v>
      </c>
      <c r="K25" s="170">
        <f t="shared" si="7"/>
        <v>2</v>
      </c>
      <c r="L25" s="170">
        <f t="shared" si="7"/>
        <v>2</v>
      </c>
      <c r="M25" s="171"/>
      <c r="N25" s="172">
        <f>SUM(N20:N24)</f>
        <v>320</v>
      </c>
      <c r="O25" s="170">
        <f>SUM(O20:O24)</f>
        <v>313</v>
      </c>
      <c r="P25" s="170">
        <f>SUM(P20:P24)</f>
        <v>3</v>
      </c>
      <c r="Q25" s="170">
        <f>SUM(Q20:Q24)</f>
        <v>1</v>
      </c>
      <c r="R25" s="247">
        <f>O25/N25</f>
        <v>0.97812500000000002</v>
      </c>
      <c r="S25" s="172">
        <f>SUM(S20:S24)</f>
        <v>34</v>
      </c>
      <c r="T25" s="170">
        <f>SUM(T20:T24)</f>
        <v>27</v>
      </c>
      <c r="U25" s="170">
        <f>SUM(U20:U24)</f>
        <v>2</v>
      </c>
      <c r="V25" s="170">
        <f>SUM(V20:V24)</f>
        <v>1</v>
      </c>
      <c r="W25" s="173"/>
      <c r="X25" s="172">
        <f>SUM(X20:X24)</f>
        <v>32</v>
      </c>
      <c r="Y25" s="170">
        <f>SUM(Y20:Y24)</f>
        <v>31</v>
      </c>
      <c r="Z25" s="170">
        <f>SUM(Z20:Z24)</f>
        <v>1</v>
      </c>
      <c r="AA25" s="170">
        <f>SUM(AA20:AA24)</f>
        <v>1</v>
      </c>
      <c r="AB25" s="171"/>
      <c r="AC25" s="172">
        <f>SUM(AC20:AC24)</f>
        <v>82</v>
      </c>
      <c r="AD25" s="170">
        <f>SUM(AD20:AD24)</f>
        <v>60</v>
      </c>
      <c r="AE25" s="170">
        <f>SUM(AE20:AE24)</f>
        <v>0</v>
      </c>
      <c r="AF25" s="170">
        <f>SUM(AF20:AF24)</f>
        <v>0</v>
      </c>
      <c r="AG25" s="171"/>
      <c r="AH25" s="172">
        <f>SUM(AH20:AH24)</f>
        <v>6.5200000000000005</v>
      </c>
      <c r="AI25" s="170">
        <f>SUM(AI20:AI24)</f>
        <v>8.52</v>
      </c>
      <c r="AJ25" s="170">
        <f>SUM(AJ20:AJ24)</f>
        <v>2</v>
      </c>
      <c r="AK25" s="170">
        <f>SUM(AK20:AK24)</f>
        <v>1</v>
      </c>
      <c r="AL25" s="171"/>
      <c r="AM25" s="172">
        <f>SUM(AM20:AM24)</f>
        <v>2.5</v>
      </c>
      <c r="AN25" s="170">
        <f>SUM(AN20:AN24)</f>
        <v>2</v>
      </c>
      <c r="AO25" s="170">
        <f>SUM(AO20:AO24)</f>
        <v>0</v>
      </c>
      <c r="AP25" s="170">
        <f>SUM(AP20:AP24)</f>
        <v>0</v>
      </c>
      <c r="AQ25" s="171"/>
      <c r="AR25" s="172">
        <f>SUM(AR20:AR24)</f>
        <v>4</v>
      </c>
      <c r="AS25" s="170">
        <f>SUM(AS20:AS24)</f>
        <v>4</v>
      </c>
      <c r="AT25" s="170">
        <f>SUM(AT20:AT24)</f>
        <v>1</v>
      </c>
      <c r="AU25" s="170">
        <f>SUM(AU20:AU24)</f>
        <v>0</v>
      </c>
      <c r="AV25" s="171"/>
      <c r="AW25" s="172">
        <f>SUM(AW20:AW24)</f>
        <v>12</v>
      </c>
      <c r="AX25" s="170">
        <f>SUM(AX20:AX24)</f>
        <v>10</v>
      </c>
      <c r="AY25" s="170">
        <f>SUM(AY20:AY24)</f>
        <v>1</v>
      </c>
      <c r="AZ25" s="170">
        <f>SUM(AZ20:AZ24)</f>
        <v>0</v>
      </c>
      <c r="BA25" s="171"/>
      <c r="BB25" s="172">
        <f>SUM(BB20:BB24)</f>
        <v>8</v>
      </c>
      <c r="BC25" s="170">
        <f>SUM(BC20:BC24)</f>
        <v>3</v>
      </c>
      <c r="BD25" s="170">
        <f>SUM(BD20:BD24)</f>
        <v>2</v>
      </c>
      <c r="BE25" s="170">
        <f>SUM(BE20:BE24)</f>
        <v>2</v>
      </c>
      <c r="BF25" s="171"/>
    </row>
    <row r="26" spans="2:58" x14ac:dyDescent="0.25">
      <c r="B26" s="227" t="s">
        <v>25</v>
      </c>
      <c r="C26" s="228">
        <f>C24+3</f>
        <v>45726</v>
      </c>
      <c r="D26" s="224">
        <f t="shared" si="0"/>
        <v>0</v>
      </c>
      <c r="E26" s="157">
        <f t="shared" ref="E26:G30" si="8">SUM(I26,N26,S26,X26,AC26,AH26,AM26,AR26,AW26)</f>
        <v>111.75</v>
      </c>
      <c r="F26" s="157">
        <f t="shared" si="8"/>
        <v>0</v>
      </c>
      <c r="G26" s="157">
        <f t="shared" si="8"/>
        <v>1</v>
      </c>
      <c r="H26" s="157">
        <f>SUM(L26,Q26,V26,AA26,AF26,AK26,AP26,AU26,BA26)</f>
        <v>0</v>
      </c>
      <c r="I26" s="161">
        <v>33</v>
      </c>
      <c r="J26" s="158"/>
      <c r="K26" s="158"/>
      <c r="L26" s="158"/>
      <c r="M26" s="162"/>
      <c r="N26" s="161">
        <v>51</v>
      </c>
      <c r="O26" s="158"/>
      <c r="P26" s="158">
        <v>1</v>
      </c>
      <c r="Q26" s="158"/>
      <c r="R26" s="162"/>
      <c r="S26" s="161">
        <v>4</v>
      </c>
      <c r="T26" s="158"/>
      <c r="U26" s="158"/>
      <c r="V26" s="158"/>
      <c r="W26" s="166"/>
      <c r="X26" s="161"/>
      <c r="Y26" s="158"/>
      <c r="Z26" s="158"/>
      <c r="AA26" s="158"/>
      <c r="AB26" s="162"/>
      <c r="AC26" s="161">
        <v>20</v>
      </c>
      <c r="AD26" s="158"/>
      <c r="AE26" s="158"/>
      <c r="AF26" s="158"/>
      <c r="AG26" s="162"/>
      <c r="AH26" s="161">
        <v>1.25</v>
      </c>
      <c r="AI26" s="158"/>
      <c r="AJ26" s="158"/>
      <c r="AK26" s="158"/>
      <c r="AL26" s="162"/>
      <c r="AM26" s="161">
        <v>0.5</v>
      </c>
      <c r="AN26" s="158"/>
      <c r="AO26" s="158"/>
      <c r="AP26" s="158"/>
      <c r="AQ26" s="162"/>
      <c r="AR26" s="159"/>
      <c r="AS26" s="158"/>
      <c r="AT26" s="158"/>
      <c r="AU26" s="158"/>
      <c r="AV26" s="162"/>
      <c r="AW26" s="159">
        <v>2</v>
      </c>
      <c r="AX26" s="158"/>
      <c r="AY26" s="158"/>
      <c r="AZ26" s="158"/>
      <c r="BA26" s="162"/>
      <c r="BB26" s="159"/>
      <c r="BC26" s="158"/>
      <c r="BD26" s="158"/>
      <c r="BE26" s="158"/>
      <c r="BF26" s="162"/>
    </row>
    <row r="27" spans="2:58" x14ac:dyDescent="0.25">
      <c r="B27" s="227" t="s">
        <v>26</v>
      </c>
      <c r="C27" s="228">
        <f>C26+1</f>
        <v>45727</v>
      </c>
      <c r="D27" s="224">
        <f t="shared" si="0"/>
        <v>0</v>
      </c>
      <c r="E27" s="157">
        <f t="shared" si="8"/>
        <v>97.75</v>
      </c>
      <c r="F27" s="157">
        <f t="shared" si="8"/>
        <v>0</v>
      </c>
      <c r="G27" s="157">
        <f t="shared" si="8"/>
        <v>0</v>
      </c>
      <c r="H27" s="157">
        <f>SUM(L27,Q27,V27,AA27,AF27,AK27,AP27,AU27,BA27)</f>
        <v>0</v>
      </c>
      <c r="I27" s="161">
        <v>33</v>
      </c>
      <c r="J27" s="158"/>
      <c r="K27" s="158"/>
      <c r="L27" s="158"/>
      <c r="M27" s="162"/>
      <c r="N27" s="161">
        <v>44</v>
      </c>
      <c r="O27" s="158"/>
      <c r="P27" s="158"/>
      <c r="Q27" s="158"/>
      <c r="R27" s="162"/>
      <c r="S27" s="161">
        <v>2</v>
      </c>
      <c r="T27" s="158"/>
      <c r="U27" s="158"/>
      <c r="V27" s="158"/>
      <c r="W27" s="166"/>
      <c r="X27" s="161"/>
      <c r="Y27" s="158"/>
      <c r="Z27" s="158"/>
      <c r="AA27" s="158"/>
      <c r="AB27" s="162"/>
      <c r="AC27" s="161">
        <v>13</v>
      </c>
      <c r="AD27" s="158"/>
      <c r="AE27" s="158"/>
      <c r="AF27" s="158"/>
      <c r="AG27" s="162"/>
      <c r="AH27" s="161">
        <v>1.25</v>
      </c>
      <c r="AI27" s="158"/>
      <c r="AJ27" s="158"/>
      <c r="AK27" s="158"/>
      <c r="AL27" s="162"/>
      <c r="AM27" s="161">
        <v>0.5</v>
      </c>
      <c r="AN27" s="158"/>
      <c r="AO27" s="158"/>
      <c r="AP27" s="158"/>
      <c r="AQ27" s="162"/>
      <c r="AR27" s="159"/>
      <c r="AS27" s="158"/>
      <c r="AT27" s="158"/>
      <c r="AU27" s="158"/>
      <c r="AV27" s="162"/>
      <c r="AW27" s="159">
        <v>4</v>
      </c>
      <c r="AX27" s="158"/>
      <c r="AY27" s="158"/>
      <c r="AZ27" s="158"/>
      <c r="BA27" s="162"/>
      <c r="BB27" s="159">
        <v>0</v>
      </c>
      <c r="BC27" s="158"/>
      <c r="BD27" s="158"/>
      <c r="BE27" s="158"/>
      <c r="BF27" s="162"/>
    </row>
    <row r="28" spans="2:58" x14ac:dyDescent="0.25">
      <c r="B28" s="227" t="s">
        <v>27</v>
      </c>
      <c r="C28" s="228">
        <f>C27+1</f>
        <v>45728</v>
      </c>
      <c r="D28" s="224">
        <f t="shared" si="0"/>
        <v>0</v>
      </c>
      <c r="E28" s="157">
        <f t="shared" si="8"/>
        <v>96.25</v>
      </c>
      <c r="F28" s="157">
        <f t="shared" si="8"/>
        <v>0</v>
      </c>
      <c r="G28" s="157">
        <f t="shared" si="8"/>
        <v>0</v>
      </c>
      <c r="H28" s="157">
        <f>SUM(L28,Q28,V28,AA28,AF28,AK28,AP28,AU28,BA28)</f>
        <v>0</v>
      </c>
      <c r="I28" s="161">
        <v>22</v>
      </c>
      <c r="J28" s="158"/>
      <c r="K28" s="158"/>
      <c r="L28" s="158"/>
      <c r="M28" s="162"/>
      <c r="N28" s="161">
        <v>52</v>
      </c>
      <c r="O28" s="158"/>
      <c r="P28" s="158"/>
      <c r="Q28" s="158"/>
      <c r="R28" s="162"/>
      <c r="S28" s="161">
        <v>3</v>
      </c>
      <c r="T28" s="158"/>
      <c r="U28" s="158"/>
      <c r="V28" s="158"/>
      <c r="W28" s="166"/>
      <c r="X28" s="161"/>
      <c r="Y28" s="158"/>
      <c r="Z28" s="158"/>
      <c r="AA28" s="158"/>
      <c r="AB28" s="162"/>
      <c r="AC28" s="161">
        <v>12</v>
      </c>
      <c r="AD28" s="158"/>
      <c r="AE28" s="158"/>
      <c r="AF28" s="158"/>
      <c r="AG28" s="162"/>
      <c r="AH28" s="161">
        <v>1.25</v>
      </c>
      <c r="AI28" s="158"/>
      <c r="AJ28" s="158"/>
      <c r="AK28" s="158"/>
      <c r="AL28" s="162"/>
      <c r="AM28" s="161">
        <v>2</v>
      </c>
      <c r="AN28" s="158"/>
      <c r="AO28" s="158"/>
      <c r="AP28" s="158"/>
      <c r="AQ28" s="162"/>
      <c r="AR28" s="159"/>
      <c r="AS28" s="158"/>
      <c r="AT28" s="158"/>
      <c r="AU28" s="158"/>
      <c r="AV28" s="162"/>
      <c r="AW28" s="159">
        <v>4</v>
      </c>
      <c r="AX28" s="158"/>
      <c r="AY28" s="158"/>
      <c r="AZ28" s="158"/>
      <c r="BA28" s="162"/>
      <c r="BB28" s="159"/>
      <c r="BC28" s="158"/>
      <c r="BD28" s="158"/>
      <c r="BE28" s="158"/>
      <c r="BF28" s="162"/>
    </row>
    <row r="29" spans="2:58" x14ac:dyDescent="0.25">
      <c r="B29" s="227" t="s">
        <v>26</v>
      </c>
      <c r="C29" s="228">
        <f>C28+1</f>
        <v>45729</v>
      </c>
      <c r="D29" s="224">
        <f t="shared" si="0"/>
        <v>0</v>
      </c>
      <c r="E29" s="157">
        <f t="shared" si="8"/>
        <v>113.14</v>
      </c>
      <c r="F29" s="157">
        <f t="shared" si="8"/>
        <v>0</v>
      </c>
      <c r="G29" s="157">
        <f t="shared" si="8"/>
        <v>1</v>
      </c>
      <c r="H29" s="157">
        <f>SUM(L29,Q29,V29,AA29,AF29,AK29,AP29,AU29,BA29)</f>
        <v>0</v>
      </c>
      <c r="I29" s="161">
        <v>22</v>
      </c>
      <c r="J29" s="158"/>
      <c r="K29" s="158"/>
      <c r="L29" s="158"/>
      <c r="M29" s="162"/>
      <c r="N29" s="161">
        <v>70</v>
      </c>
      <c r="O29" s="158"/>
      <c r="P29" s="158"/>
      <c r="Q29" s="158"/>
      <c r="R29" s="162"/>
      <c r="S29" s="161">
        <v>2</v>
      </c>
      <c r="T29" s="158"/>
      <c r="U29" s="158"/>
      <c r="V29" s="158"/>
      <c r="W29" s="166"/>
      <c r="X29" s="161"/>
      <c r="Y29" s="158"/>
      <c r="Z29" s="158"/>
      <c r="AA29" s="158"/>
      <c r="AB29" s="162"/>
      <c r="AC29" s="161">
        <v>11</v>
      </c>
      <c r="AD29" s="158"/>
      <c r="AE29" s="158"/>
      <c r="AF29" s="158"/>
      <c r="AG29" s="162"/>
      <c r="AH29" s="161">
        <v>1.1399999999999999</v>
      </c>
      <c r="AI29" s="158"/>
      <c r="AJ29" s="158"/>
      <c r="AK29" s="158"/>
      <c r="AL29" s="162"/>
      <c r="AM29" s="161">
        <v>3</v>
      </c>
      <c r="AN29" s="158"/>
      <c r="AO29" s="158"/>
      <c r="AP29" s="158"/>
      <c r="AQ29" s="162"/>
      <c r="AR29" s="159"/>
      <c r="AS29" s="158"/>
      <c r="AT29" s="158">
        <v>1</v>
      </c>
      <c r="AU29" s="158"/>
      <c r="AV29" s="162"/>
      <c r="AW29" s="159">
        <v>4</v>
      </c>
      <c r="AX29" s="158"/>
      <c r="AY29" s="158"/>
      <c r="AZ29" s="158"/>
      <c r="BA29" s="162"/>
      <c r="BB29" s="159"/>
      <c r="BC29" s="158"/>
      <c r="BD29" s="158"/>
      <c r="BE29" s="158"/>
      <c r="BF29" s="162"/>
    </row>
    <row r="30" spans="2:58" x14ac:dyDescent="0.25">
      <c r="B30" s="227" t="s">
        <v>32</v>
      </c>
      <c r="C30" s="228">
        <f>C29+1</f>
        <v>45730</v>
      </c>
      <c r="D30" s="224">
        <f t="shared" si="0"/>
        <v>0</v>
      </c>
      <c r="E30" s="157">
        <f t="shared" si="8"/>
        <v>63.14</v>
      </c>
      <c r="F30" s="157">
        <f t="shared" si="8"/>
        <v>0</v>
      </c>
      <c r="G30" s="157">
        <f t="shared" si="8"/>
        <v>3</v>
      </c>
      <c r="H30" s="157">
        <f>SUM(L30,Q30,V30,AA30,AF30,AK30,AP30,AU30,BA30)</f>
        <v>0</v>
      </c>
      <c r="I30" s="161">
        <v>22</v>
      </c>
      <c r="J30" s="158"/>
      <c r="K30" s="158"/>
      <c r="L30" s="158"/>
      <c r="M30" s="162"/>
      <c r="N30" s="161">
        <v>17</v>
      </c>
      <c r="O30" s="158"/>
      <c r="P30" s="158">
        <v>1</v>
      </c>
      <c r="Q30" s="158"/>
      <c r="R30" s="162"/>
      <c r="S30" s="161">
        <v>1</v>
      </c>
      <c r="T30" s="158"/>
      <c r="U30" s="158"/>
      <c r="V30" s="158"/>
      <c r="W30" s="166"/>
      <c r="X30" s="161"/>
      <c r="Y30" s="158"/>
      <c r="Z30" s="158"/>
      <c r="AA30" s="158"/>
      <c r="AB30" s="162"/>
      <c r="AC30" s="161">
        <v>8</v>
      </c>
      <c r="AD30" s="158"/>
      <c r="AE30" s="158"/>
      <c r="AF30" s="158"/>
      <c r="AG30" s="162"/>
      <c r="AH30" s="161">
        <v>1.1399999999999999</v>
      </c>
      <c r="AI30" s="158"/>
      <c r="AJ30" s="158"/>
      <c r="AK30" s="158"/>
      <c r="AL30" s="162"/>
      <c r="AM30" s="161">
        <v>10</v>
      </c>
      <c r="AN30" s="158"/>
      <c r="AO30" s="158">
        <v>1</v>
      </c>
      <c r="AP30" s="158"/>
      <c r="AQ30" s="162"/>
      <c r="AR30" s="159"/>
      <c r="AS30" s="158"/>
      <c r="AT30" s="158">
        <v>1</v>
      </c>
      <c r="AU30" s="158"/>
      <c r="AV30" s="162"/>
      <c r="AW30" s="159">
        <v>4</v>
      </c>
      <c r="AX30" s="158"/>
      <c r="AY30" s="158"/>
      <c r="AZ30" s="158"/>
      <c r="BA30" s="162"/>
      <c r="BB30" s="159"/>
      <c r="BC30" s="158"/>
      <c r="BD30" s="158"/>
      <c r="BE30" s="158"/>
      <c r="BF30" s="162"/>
    </row>
    <row r="31" spans="2:58" x14ac:dyDescent="0.25">
      <c r="B31" s="276" t="s">
        <v>33</v>
      </c>
      <c r="C31" s="276"/>
      <c r="D31" s="225">
        <f t="shared" si="0"/>
        <v>0</v>
      </c>
      <c r="E31" s="170">
        <f t="shared" ref="E31:L31" si="9">SUM(E26:E30)</f>
        <v>482.03</v>
      </c>
      <c r="F31" s="170">
        <f t="shared" si="9"/>
        <v>0</v>
      </c>
      <c r="G31" s="170">
        <f t="shared" si="9"/>
        <v>5</v>
      </c>
      <c r="H31" s="170">
        <f t="shared" si="9"/>
        <v>0</v>
      </c>
      <c r="I31" s="172">
        <f t="shared" si="9"/>
        <v>132</v>
      </c>
      <c r="J31" s="170">
        <f t="shared" si="9"/>
        <v>0</v>
      </c>
      <c r="K31" s="170">
        <f t="shared" si="9"/>
        <v>0</v>
      </c>
      <c r="L31" s="170">
        <f t="shared" si="9"/>
        <v>0</v>
      </c>
      <c r="M31" s="171"/>
      <c r="N31" s="172">
        <f>SUM(N26:N30)</f>
        <v>234</v>
      </c>
      <c r="O31" s="170">
        <f>SUM(O26:O30)</f>
        <v>0</v>
      </c>
      <c r="P31" s="170">
        <f>SUM(P26:P30)</f>
        <v>2</v>
      </c>
      <c r="Q31" s="170">
        <f>SUM(Q26:Q30)</f>
        <v>0</v>
      </c>
      <c r="R31" s="171"/>
      <c r="S31" s="172">
        <f>SUM(S26:S30)</f>
        <v>12</v>
      </c>
      <c r="T31" s="170">
        <f>SUM(T26:T30)</f>
        <v>0</v>
      </c>
      <c r="U31" s="170">
        <f>SUM(U26:U30)</f>
        <v>0</v>
      </c>
      <c r="V31" s="170">
        <f>SUM(V26:V30)</f>
        <v>0</v>
      </c>
      <c r="W31" s="173"/>
      <c r="X31" s="172">
        <f>SUM(X26:X30)</f>
        <v>0</v>
      </c>
      <c r="Y31" s="170">
        <f>SUM(Y26:Y30)</f>
        <v>0</v>
      </c>
      <c r="Z31" s="170">
        <f>SUM(Z26:Z30)</f>
        <v>0</v>
      </c>
      <c r="AA31" s="170">
        <f>SUM(AA26:AA30)</f>
        <v>0</v>
      </c>
      <c r="AB31" s="171"/>
      <c r="AC31" s="172">
        <f>SUM(AC26:AC30)</f>
        <v>64</v>
      </c>
      <c r="AD31" s="170">
        <f>SUM(AD26:AD30)</f>
        <v>0</v>
      </c>
      <c r="AE31" s="170">
        <f>SUM(AE26:AE30)</f>
        <v>0</v>
      </c>
      <c r="AF31" s="170">
        <f>SUM(AF26:AF30)</f>
        <v>0</v>
      </c>
      <c r="AG31" s="171"/>
      <c r="AH31" s="172">
        <f>SUM(AH26:AH30)</f>
        <v>6.0299999999999994</v>
      </c>
      <c r="AI31" s="170">
        <f>SUM(AI26:AI30)</f>
        <v>0</v>
      </c>
      <c r="AJ31" s="170">
        <f>SUM(AJ26:AJ30)</f>
        <v>0</v>
      </c>
      <c r="AK31" s="170">
        <f>SUM(AK26:AK30)</f>
        <v>0</v>
      </c>
      <c r="AL31" s="171"/>
      <c r="AM31" s="172">
        <f>SUM(AM26:AM30)</f>
        <v>16</v>
      </c>
      <c r="AN31" s="170">
        <f>SUM(AN26:AN30)</f>
        <v>0</v>
      </c>
      <c r="AO31" s="170">
        <f>SUM(AO26:AO30)</f>
        <v>1</v>
      </c>
      <c r="AP31" s="170">
        <f>SUM(AP26:AP30)</f>
        <v>0</v>
      </c>
      <c r="AQ31" s="171"/>
      <c r="AR31" s="172">
        <f>SUM(AR26:AR30)</f>
        <v>0</v>
      </c>
      <c r="AS31" s="170">
        <f>SUM(AS26:AS30)</f>
        <v>0</v>
      </c>
      <c r="AT31" s="170">
        <f>SUM(AT26:AT30)</f>
        <v>2</v>
      </c>
      <c r="AU31" s="170">
        <f>SUM(AU26:AU30)</f>
        <v>0</v>
      </c>
      <c r="AV31" s="171"/>
      <c r="AW31" s="172">
        <f>SUM(AW26:AW30)</f>
        <v>18</v>
      </c>
      <c r="AX31" s="170">
        <f>SUM(AX26:AX30)</f>
        <v>0</v>
      </c>
      <c r="AY31" s="170">
        <f>SUM(AY26:AY30)</f>
        <v>0</v>
      </c>
      <c r="AZ31" s="170">
        <f>SUM(AZ26:AZ30)</f>
        <v>0</v>
      </c>
      <c r="BA31" s="171"/>
      <c r="BB31" s="172"/>
      <c r="BC31" s="170"/>
      <c r="BD31" s="170"/>
      <c r="BE31" s="170"/>
      <c r="BF31" s="171"/>
    </row>
    <row r="32" spans="2:58" x14ac:dyDescent="0.25">
      <c r="B32" s="227" t="s">
        <v>25</v>
      </c>
      <c r="C32" s="228">
        <f>C30+3</f>
        <v>45733</v>
      </c>
      <c r="D32" s="224">
        <f t="shared" si="0"/>
        <v>0</v>
      </c>
      <c r="E32" s="157">
        <f t="shared" ref="E32:G36" si="10">SUM(I32,N32,S32,X32,AC32,AH32,AM32,AR32,AW32)</f>
        <v>91.14</v>
      </c>
      <c r="F32" s="157">
        <f t="shared" si="10"/>
        <v>0</v>
      </c>
      <c r="G32" s="157">
        <f t="shared" si="10"/>
        <v>1</v>
      </c>
      <c r="H32" s="157">
        <f>SUM(L32,Q32,V32,AA32,AF32,AK32,AP32,AU32,BA32)</f>
        <v>0</v>
      </c>
      <c r="I32" s="161">
        <v>11</v>
      </c>
      <c r="J32" s="158"/>
      <c r="K32" s="158"/>
      <c r="L32" s="158"/>
      <c r="M32" s="162"/>
      <c r="N32" s="161">
        <v>61</v>
      </c>
      <c r="O32" s="158"/>
      <c r="P32" s="158">
        <v>1</v>
      </c>
      <c r="Q32" s="158"/>
      <c r="R32" s="162"/>
      <c r="S32" s="161">
        <v>3</v>
      </c>
      <c r="T32" s="158"/>
      <c r="U32" s="158"/>
      <c r="V32" s="158"/>
      <c r="W32" s="166"/>
      <c r="X32" s="161"/>
      <c r="Y32" s="158"/>
      <c r="Z32" s="158"/>
      <c r="AA32" s="158"/>
      <c r="AB32" s="162"/>
      <c r="AC32" s="161">
        <v>11</v>
      </c>
      <c r="AD32" s="158"/>
      <c r="AE32" s="158"/>
      <c r="AF32" s="158"/>
      <c r="AG32" s="162"/>
      <c r="AH32" s="161">
        <v>1.1399999999999999</v>
      </c>
      <c r="AI32" s="158"/>
      <c r="AJ32" s="158"/>
      <c r="AK32" s="158"/>
      <c r="AL32" s="162"/>
      <c r="AM32" s="175"/>
      <c r="AN32" s="176"/>
      <c r="AO32" s="176"/>
      <c r="AP32" s="176"/>
      <c r="AQ32" s="333" t="s">
        <v>49</v>
      </c>
      <c r="AR32" s="175"/>
      <c r="AS32" s="176"/>
      <c r="AT32" s="176"/>
      <c r="AU32" s="176"/>
      <c r="AV32" s="333" t="s">
        <v>49</v>
      </c>
      <c r="AW32" s="159">
        <v>4</v>
      </c>
      <c r="AX32" s="158"/>
      <c r="AY32" s="158"/>
      <c r="AZ32" s="158"/>
      <c r="BA32" s="162"/>
      <c r="BB32" s="246"/>
      <c r="BC32" s="158"/>
      <c r="BD32" s="158"/>
      <c r="BE32" s="158"/>
      <c r="BF32" s="162"/>
    </row>
    <row r="33" spans="2:58" x14ac:dyDescent="0.25">
      <c r="B33" s="227" t="s">
        <v>26</v>
      </c>
      <c r="C33" s="228">
        <f>C32+1</f>
        <v>45734</v>
      </c>
      <c r="D33" s="224">
        <f t="shared" si="0"/>
        <v>0</v>
      </c>
      <c r="E33" s="157">
        <f t="shared" si="10"/>
        <v>138.13999999999999</v>
      </c>
      <c r="F33" s="157">
        <f t="shared" si="10"/>
        <v>0</v>
      </c>
      <c r="G33" s="157">
        <f t="shared" si="10"/>
        <v>0</v>
      </c>
      <c r="H33" s="157">
        <f>SUM(L33,Q33,V33,AA33,AF33,AK33,AP33,AU33,BA33)</f>
        <v>0</v>
      </c>
      <c r="I33" s="161">
        <v>11</v>
      </c>
      <c r="J33" s="158"/>
      <c r="K33" s="158"/>
      <c r="L33" s="158"/>
      <c r="M33" s="162"/>
      <c r="N33" s="161">
        <v>107</v>
      </c>
      <c r="O33" s="158"/>
      <c r="P33" s="158"/>
      <c r="Q33" s="158"/>
      <c r="R33" s="162"/>
      <c r="S33" s="161">
        <v>3</v>
      </c>
      <c r="T33" s="158"/>
      <c r="U33" s="158"/>
      <c r="V33" s="158"/>
      <c r="W33" s="166"/>
      <c r="X33" s="161"/>
      <c r="Y33" s="158"/>
      <c r="Z33" s="158"/>
      <c r="AA33" s="158"/>
      <c r="AB33" s="162"/>
      <c r="AC33" s="161">
        <v>13</v>
      </c>
      <c r="AD33" s="158"/>
      <c r="AE33" s="158"/>
      <c r="AF33" s="158"/>
      <c r="AG33" s="162"/>
      <c r="AH33" s="161">
        <v>0.14000000000000001</v>
      </c>
      <c r="AI33" s="158"/>
      <c r="AJ33" s="158"/>
      <c r="AK33" s="158"/>
      <c r="AL33" s="162"/>
      <c r="AM33" s="175"/>
      <c r="AN33" s="176"/>
      <c r="AO33" s="176"/>
      <c r="AP33" s="176"/>
      <c r="AQ33" s="334"/>
      <c r="AR33" s="175"/>
      <c r="AS33" s="176"/>
      <c r="AT33" s="176"/>
      <c r="AU33" s="176"/>
      <c r="AV33" s="334"/>
      <c r="AW33" s="159">
        <v>4</v>
      </c>
      <c r="AX33" s="158"/>
      <c r="AY33" s="158"/>
      <c r="AZ33" s="158"/>
      <c r="BA33" s="162"/>
      <c r="BB33" s="159"/>
      <c r="BC33" s="158"/>
      <c r="BD33" s="158"/>
      <c r="BE33" s="158"/>
      <c r="BF33" s="162"/>
    </row>
    <row r="34" spans="2:58" x14ac:dyDescent="0.25">
      <c r="B34" s="227" t="s">
        <v>27</v>
      </c>
      <c r="C34" s="228">
        <f>C33+1</f>
        <v>45735</v>
      </c>
      <c r="D34" s="224">
        <f t="shared" si="0"/>
        <v>0</v>
      </c>
      <c r="E34" s="157">
        <f t="shared" si="10"/>
        <v>91.14</v>
      </c>
      <c r="F34" s="157">
        <f t="shared" si="10"/>
        <v>0</v>
      </c>
      <c r="G34" s="157">
        <f t="shared" si="10"/>
        <v>0</v>
      </c>
      <c r="H34" s="157">
        <f>SUM(L34,Q34,V34,AA34,AF34,AK34,AP34,AU34,BA34)</f>
        <v>0</v>
      </c>
      <c r="I34" s="161">
        <v>11</v>
      </c>
      <c r="J34" s="158"/>
      <c r="K34" s="158"/>
      <c r="L34" s="158"/>
      <c r="M34" s="162"/>
      <c r="N34" s="161">
        <v>44</v>
      </c>
      <c r="O34" s="158"/>
      <c r="P34" s="158"/>
      <c r="Q34" s="158"/>
      <c r="R34" s="162"/>
      <c r="S34" s="161">
        <v>2</v>
      </c>
      <c r="T34" s="158"/>
      <c r="U34" s="158"/>
      <c r="V34" s="158"/>
      <c r="W34" s="166"/>
      <c r="X34" s="161"/>
      <c r="Y34" s="158"/>
      <c r="Z34" s="158"/>
      <c r="AA34" s="158"/>
      <c r="AB34" s="162"/>
      <c r="AC34" s="161">
        <v>32</v>
      </c>
      <c r="AD34" s="158"/>
      <c r="AE34" s="158"/>
      <c r="AF34" s="158"/>
      <c r="AG34" s="162"/>
      <c r="AH34" s="161">
        <v>0.14000000000000001</v>
      </c>
      <c r="AI34" s="158"/>
      <c r="AJ34" s="158"/>
      <c r="AK34" s="158"/>
      <c r="AL34" s="162"/>
      <c r="AM34" s="175"/>
      <c r="AN34" s="176"/>
      <c r="AO34" s="176"/>
      <c r="AP34" s="176"/>
      <c r="AQ34" s="334"/>
      <c r="AR34" s="175"/>
      <c r="AS34" s="176"/>
      <c r="AT34" s="176"/>
      <c r="AU34" s="176"/>
      <c r="AV34" s="334"/>
      <c r="AW34" s="159">
        <v>2</v>
      </c>
      <c r="AX34" s="158"/>
      <c r="AY34" s="158"/>
      <c r="AZ34" s="158"/>
      <c r="BA34" s="162"/>
      <c r="BB34" s="159"/>
      <c r="BC34" s="158"/>
      <c r="BD34" s="158"/>
      <c r="BE34" s="158"/>
      <c r="BF34" s="162"/>
    </row>
    <row r="35" spans="2:58" x14ac:dyDescent="0.25">
      <c r="B35" s="227" t="s">
        <v>26</v>
      </c>
      <c r="C35" s="228">
        <f>C34+1</f>
        <v>45736</v>
      </c>
      <c r="D35" s="224">
        <f t="shared" si="0"/>
        <v>0</v>
      </c>
      <c r="E35" s="157">
        <f t="shared" si="10"/>
        <v>60.14</v>
      </c>
      <c r="F35" s="157">
        <f t="shared" si="10"/>
        <v>0</v>
      </c>
      <c r="G35" s="157">
        <f t="shared" si="10"/>
        <v>1</v>
      </c>
      <c r="H35" s="157">
        <f>SUM(L35,Q35,V35,AA35,AF35,AK35,AP35,AU35,BA35)</f>
        <v>0</v>
      </c>
      <c r="I35" s="161">
        <v>11</v>
      </c>
      <c r="J35" s="158"/>
      <c r="K35" s="158"/>
      <c r="L35" s="158"/>
      <c r="M35" s="162"/>
      <c r="N35" s="161">
        <v>17</v>
      </c>
      <c r="O35" s="158"/>
      <c r="P35" s="158">
        <v>1</v>
      </c>
      <c r="Q35" s="158"/>
      <c r="R35" s="162"/>
      <c r="S35" s="161">
        <v>2</v>
      </c>
      <c r="T35" s="158"/>
      <c r="U35" s="158"/>
      <c r="V35" s="158"/>
      <c r="W35" s="166"/>
      <c r="X35" s="161"/>
      <c r="Y35" s="158"/>
      <c r="Z35" s="158"/>
      <c r="AA35" s="158"/>
      <c r="AB35" s="162"/>
      <c r="AC35" s="161">
        <v>25</v>
      </c>
      <c r="AD35" s="158"/>
      <c r="AE35" s="158"/>
      <c r="AF35" s="158"/>
      <c r="AG35" s="162"/>
      <c r="AH35" s="161">
        <v>1.1399999999999999</v>
      </c>
      <c r="AI35" s="158"/>
      <c r="AJ35" s="158"/>
      <c r="AK35" s="158"/>
      <c r="AL35" s="162"/>
      <c r="AM35" s="175"/>
      <c r="AN35" s="176"/>
      <c r="AO35" s="176"/>
      <c r="AP35" s="176"/>
      <c r="AQ35" s="334"/>
      <c r="AR35" s="175"/>
      <c r="AS35" s="176"/>
      <c r="AT35" s="176"/>
      <c r="AU35" s="176"/>
      <c r="AV35" s="334"/>
      <c r="AW35" s="159">
        <v>4</v>
      </c>
      <c r="AX35" s="158"/>
      <c r="AY35" s="158"/>
      <c r="AZ35" s="158"/>
      <c r="BA35" s="162"/>
      <c r="BB35" s="159"/>
      <c r="BC35" s="158"/>
      <c r="BD35" s="158"/>
      <c r="BE35" s="158"/>
      <c r="BF35" s="162"/>
    </row>
    <row r="36" spans="2:58" x14ac:dyDescent="0.25">
      <c r="B36" s="227" t="s">
        <v>32</v>
      </c>
      <c r="C36" s="228">
        <f>C35+1</f>
        <v>45737</v>
      </c>
      <c r="D36" s="224">
        <f t="shared" si="0"/>
        <v>0</v>
      </c>
      <c r="E36" s="157">
        <f t="shared" si="10"/>
        <v>98.14</v>
      </c>
      <c r="F36" s="157">
        <f t="shared" si="10"/>
        <v>0</v>
      </c>
      <c r="G36" s="157">
        <f t="shared" si="10"/>
        <v>1</v>
      </c>
      <c r="H36" s="157">
        <f>SUM(L36,Q36,V36,AA36,AF36,AK36,AP36,AU36,BA36)</f>
        <v>0</v>
      </c>
      <c r="I36" s="161">
        <v>11</v>
      </c>
      <c r="J36" s="158"/>
      <c r="K36" s="158"/>
      <c r="L36" s="158"/>
      <c r="M36" s="162"/>
      <c r="N36" s="161">
        <v>56</v>
      </c>
      <c r="O36" s="158"/>
      <c r="P36" s="158"/>
      <c r="Q36" s="158"/>
      <c r="R36" s="162"/>
      <c r="S36" s="161">
        <v>3</v>
      </c>
      <c r="T36" s="158"/>
      <c r="U36" s="158"/>
      <c r="V36" s="158"/>
      <c r="W36" s="166"/>
      <c r="X36" s="161"/>
      <c r="Y36" s="158"/>
      <c r="Z36" s="158"/>
      <c r="AA36" s="158"/>
      <c r="AB36" s="162"/>
      <c r="AC36" s="161">
        <v>24</v>
      </c>
      <c r="AD36" s="158"/>
      <c r="AE36" s="158"/>
      <c r="AF36" s="158"/>
      <c r="AG36" s="162"/>
      <c r="AH36" s="161">
        <v>0.14000000000000001</v>
      </c>
      <c r="AI36" s="158"/>
      <c r="AJ36" s="158"/>
      <c r="AK36" s="158"/>
      <c r="AL36" s="162"/>
      <c r="AM36" s="175"/>
      <c r="AN36" s="176"/>
      <c r="AO36" s="176"/>
      <c r="AP36" s="176"/>
      <c r="AQ36" s="334"/>
      <c r="AR36" s="175"/>
      <c r="AS36" s="176"/>
      <c r="AT36" s="176"/>
      <c r="AU36" s="176"/>
      <c r="AV36" s="334"/>
      <c r="AW36" s="159">
        <v>4</v>
      </c>
      <c r="AX36" s="158"/>
      <c r="AY36" s="158">
        <v>1</v>
      </c>
      <c r="AZ36" s="158"/>
      <c r="BA36" s="162"/>
      <c r="BB36" s="159"/>
      <c r="BC36" s="158"/>
      <c r="BD36" s="158"/>
      <c r="BE36" s="158"/>
      <c r="BF36" s="162"/>
    </row>
    <row r="37" spans="2:58" x14ac:dyDescent="0.25">
      <c r="B37" s="276" t="s">
        <v>33</v>
      </c>
      <c r="C37" s="276"/>
      <c r="D37" s="225">
        <f t="shared" si="0"/>
        <v>0</v>
      </c>
      <c r="E37" s="170">
        <f t="shared" ref="E37:L37" si="11">SUM(E32:E36)</f>
        <v>478.69999999999993</v>
      </c>
      <c r="F37" s="170">
        <f t="shared" si="11"/>
        <v>0</v>
      </c>
      <c r="G37" s="170">
        <f t="shared" si="11"/>
        <v>3</v>
      </c>
      <c r="H37" s="170">
        <f t="shared" si="11"/>
        <v>0</v>
      </c>
      <c r="I37" s="172">
        <f t="shared" si="11"/>
        <v>55</v>
      </c>
      <c r="J37" s="170">
        <f t="shared" si="11"/>
        <v>0</v>
      </c>
      <c r="K37" s="170">
        <f t="shared" si="11"/>
        <v>0</v>
      </c>
      <c r="L37" s="170">
        <f t="shared" si="11"/>
        <v>0</v>
      </c>
      <c r="M37" s="171"/>
      <c r="N37" s="172">
        <f>SUM(N32:N36)</f>
        <v>285</v>
      </c>
      <c r="O37" s="170">
        <f>SUM(O32:O36)</f>
        <v>0</v>
      </c>
      <c r="P37" s="170">
        <f>SUM(P32:P36)</f>
        <v>2</v>
      </c>
      <c r="Q37" s="170">
        <f>SUM(Q32:Q36)</f>
        <v>0</v>
      </c>
      <c r="R37" s="171"/>
      <c r="S37" s="172">
        <f>SUM(S32:S36)</f>
        <v>13</v>
      </c>
      <c r="T37" s="170">
        <f>SUM(T32:T36)</f>
        <v>0</v>
      </c>
      <c r="U37" s="170">
        <f>SUM(U32:U36)</f>
        <v>0</v>
      </c>
      <c r="V37" s="170">
        <f>SUM(V32:V36)</f>
        <v>0</v>
      </c>
      <c r="W37" s="171"/>
      <c r="X37" s="172">
        <f>SUM(X32:X36)</f>
        <v>0</v>
      </c>
      <c r="Y37" s="170">
        <f>SUM(Y32:Y36)</f>
        <v>0</v>
      </c>
      <c r="Z37" s="170">
        <f>SUM(Z32:Z36)</f>
        <v>0</v>
      </c>
      <c r="AA37" s="170">
        <f>SUM(AA32:AA36)</f>
        <v>0</v>
      </c>
      <c r="AB37" s="171"/>
      <c r="AC37" s="172">
        <f>SUM(AC32:AC36)</f>
        <v>105</v>
      </c>
      <c r="AD37" s="170">
        <f>SUM(AD32:AD36)</f>
        <v>0</v>
      </c>
      <c r="AE37" s="170">
        <f>SUM(AE32:AE36)</f>
        <v>0</v>
      </c>
      <c r="AF37" s="170">
        <f>SUM(AF32:AF36)</f>
        <v>0</v>
      </c>
      <c r="AG37" s="182" t="s">
        <v>121</v>
      </c>
      <c r="AH37" s="172">
        <f>SUM(AH32:AH36)</f>
        <v>2.6999999999999997</v>
      </c>
      <c r="AI37" s="170">
        <f>SUM(AI32:AI36)</f>
        <v>0</v>
      </c>
      <c r="AJ37" s="170">
        <f>SUM(AJ32:AJ36)</f>
        <v>0</v>
      </c>
      <c r="AK37" s="170">
        <f>SUM(AK32:AK36)</f>
        <v>0</v>
      </c>
      <c r="AL37" s="171"/>
      <c r="AM37" s="175"/>
      <c r="AN37" s="176"/>
      <c r="AO37" s="176"/>
      <c r="AP37" s="176"/>
      <c r="AQ37" s="334"/>
      <c r="AR37" s="175"/>
      <c r="AS37" s="176"/>
      <c r="AT37" s="176"/>
      <c r="AU37" s="176"/>
      <c r="AV37" s="334"/>
      <c r="AW37" s="172">
        <f>SUM(AW32:AW36)</f>
        <v>18</v>
      </c>
      <c r="AX37" s="170">
        <f>SUM(AX32:AX36)</f>
        <v>0</v>
      </c>
      <c r="AY37" s="170">
        <f>SUM(AY32:AY36)</f>
        <v>1</v>
      </c>
      <c r="AZ37" s="170">
        <f>SUM(AZ32:AZ36)</f>
        <v>0</v>
      </c>
      <c r="BA37" s="171"/>
      <c r="BB37" s="172"/>
      <c r="BC37" s="170"/>
      <c r="BD37" s="170"/>
      <c r="BE37" s="170"/>
      <c r="BF37" s="171"/>
    </row>
    <row r="38" spans="2:58" x14ac:dyDescent="0.25">
      <c r="B38" s="227" t="s">
        <v>25</v>
      </c>
      <c r="C38" s="228">
        <f>C36+3</f>
        <v>45740</v>
      </c>
      <c r="D38" s="224">
        <f t="shared" si="0"/>
        <v>0</v>
      </c>
      <c r="E38" s="157">
        <f t="shared" ref="E38:G42" si="12">SUM(I38,N38,S38,X38,AC38,AH38,AM38,AR38,AW38)</f>
        <v>64</v>
      </c>
      <c r="F38" s="157">
        <f t="shared" si="12"/>
        <v>0</v>
      </c>
      <c r="G38" s="157">
        <f t="shared" si="12"/>
        <v>7</v>
      </c>
      <c r="H38" s="157">
        <f>SUM(L38,Q38,V38,AA38,AF38,AK38,AP38,AU38,BA38)</f>
        <v>0</v>
      </c>
      <c r="I38" s="161">
        <v>11</v>
      </c>
      <c r="J38" s="158"/>
      <c r="K38" s="158"/>
      <c r="L38" s="158"/>
      <c r="M38" s="162"/>
      <c r="N38" s="161">
        <v>28</v>
      </c>
      <c r="O38" s="158"/>
      <c r="P38" s="158">
        <v>1</v>
      </c>
      <c r="Q38" s="158"/>
      <c r="R38" s="162"/>
      <c r="S38" s="161">
        <v>3</v>
      </c>
      <c r="T38" s="158"/>
      <c r="U38" s="158"/>
      <c r="V38" s="158"/>
      <c r="W38" s="166"/>
      <c r="X38" s="161"/>
      <c r="Y38" s="158"/>
      <c r="Z38" s="158"/>
      <c r="AA38" s="158"/>
      <c r="AB38" s="162"/>
      <c r="AC38" s="161">
        <v>17</v>
      </c>
      <c r="AD38" s="158"/>
      <c r="AE38" s="158">
        <v>6</v>
      </c>
      <c r="AF38" s="158"/>
      <c r="AG38" s="162"/>
      <c r="AH38" s="161">
        <v>1</v>
      </c>
      <c r="AI38" s="158"/>
      <c r="AJ38" s="158"/>
      <c r="AK38" s="158"/>
      <c r="AL38" s="162"/>
      <c r="AM38" s="175"/>
      <c r="AN38" s="176"/>
      <c r="AO38" s="176"/>
      <c r="AP38" s="176"/>
      <c r="AQ38" s="334"/>
      <c r="AR38" s="175"/>
      <c r="AS38" s="176"/>
      <c r="AT38" s="176"/>
      <c r="AU38" s="176"/>
      <c r="AV38" s="334"/>
      <c r="AW38" s="159">
        <v>4</v>
      </c>
      <c r="AX38" s="158"/>
      <c r="AY38" s="158"/>
      <c r="AZ38" s="158"/>
      <c r="BA38" s="162"/>
      <c r="BB38" s="159"/>
      <c r="BC38" s="158"/>
      <c r="BD38" s="158"/>
      <c r="BE38" s="158"/>
      <c r="BF38" s="162"/>
    </row>
    <row r="39" spans="2:58" x14ac:dyDescent="0.25">
      <c r="B39" s="227" t="s">
        <v>26</v>
      </c>
      <c r="C39" s="228">
        <f>C38+1</f>
        <v>45741</v>
      </c>
      <c r="D39" s="224">
        <f t="shared" ref="D39:D70" si="13">IF(E39=0,0,F39/E39)</f>
        <v>0</v>
      </c>
      <c r="E39" s="157">
        <f t="shared" si="12"/>
        <v>50.25</v>
      </c>
      <c r="F39" s="157">
        <f t="shared" si="12"/>
        <v>0</v>
      </c>
      <c r="G39" s="157">
        <f t="shared" si="12"/>
        <v>1</v>
      </c>
      <c r="H39" s="157">
        <f>SUM(L39,Q39,V39,AA39,AF39,AK39,AP39,AU39,BA39)</f>
        <v>0</v>
      </c>
      <c r="I39" s="161">
        <v>11</v>
      </c>
      <c r="J39" s="158"/>
      <c r="K39" s="158"/>
      <c r="L39" s="158"/>
      <c r="M39" s="162"/>
      <c r="N39" s="161">
        <v>27</v>
      </c>
      <c r="O39" s="158"/>
      <c r="P39" s="158"/>
      <c r="Q39" s="158"/>
      <c r="R39" s="162"/>
      <c r="S39" s="161">
        <v>3</v>
      </c>
      <c r="T39" s="158"/>
      <c r="U39" s="158"/>
      <c r="V39" s="158"/>
      <c r="W39" s="166"/>
      <c r="X39" s="161"/>
      <c r="Y39" s="158"/>
      <c r="Z39" s="158"/>
      <c r="AA39" s="158"/>
      <c r="AB39" s="162"/>
      <c r="AC39" s="161">
        <v>5</v>
      </c>
      <c r="AD39" s="158"/>
      <c r="AE39" s="158">
        <v>1</v>
      </c>
      <c r="AF39" s="158"/>
      <c r="AG39" s="162"/>
      <c r="AH39" s="161">
        <v>0.25</v>
      </c>
      <c r="AI39" s="158"/>
      <c r="AJ39" s="158"/>
      <c r="AK39" s="158"/>
      <c r="AL39" s="162"/>
      <c r="AM39" s="175"/>
      <c r="AN39" s="176"/>
      <c r="AO39" s="176"/>
      <c r="AP39" s="176"/>
      <c r="AQ39" s="334"/>
      <c r="AR39" s="175"/>
      <c r="AS39" s="176"/>
      <c r="AT39" s="176"/>
      <c r="AU39" s="176"/>
      <c r="AV39" s="334"/>
      <c r="AW39" s="159">
        <v>4</v>
      </c>
      <c r="AX39" s="158"/>
      <c r="AY39" s="158"/>
      <c r="AZ39" s="158"/>
      <c r="BA39" s="162"/>
      <c r="BB39" s="159"/>
      <c r="BC39" s="158"/>
      <c r="BD39" s="158"/>
      <c r="BE39" s="158"/>
      <c r="BF39" s="162"/>
    </row>
    <row r="40" spans="2:58" x14ac:dyDescent="0.25">
      <c r="B40" s="227" t="s">
        <v>27</v>
      </c>
      <c r="C40" s="228">
        <f>C39+1</f>
        <v>45742</v>
      </c>
      <c r="D40" s="224">
        <f t="shared" si="13"/>
        <v>0</v>
      </c>
      <c r="E40" s="157">
        <f t="shared" si="12"/>
        <v>51.25</v>
      </c>
      <c r="F40" s="157">
        <f t="shared" si="12"/>
        <v>0</v>
      </c>
      <c r="G40" s="157">
        <f t="shared" si="12"/>
        <v>2</v>
      </c>
      <c r="H40" s="157">
        <f>SUM(L40,Q40,V40,AA40,AF40,AK40,AP40,AU40,BA40)</f>
        <v>0</v>
      </c>
      <c r="I40" s="161">
        <v>11</v>
      </c>
      <c r="J40" s="158"/>
      <c r="K40" s="158"/>
      <c r="L40" s="158"/>
      <c r="M40" s="162"/>
      <c r="N40" s="161">
        <v>31</v>
      </c>
      <c r="O40" s="158"/>
      <c r="P40" s="158"/>
      <c r="Q40" s="158"/>
      <c r="R40" s="162"/>
      <c r="S40" s="161">
        <v>5</v>
      </c>
      <c r="T40" s="158"/>
      <c r="U40" s="158"/>
      <c r="V40" s="158"/>
      <c r="W40" s="166"/>
      <c r="X40" s="161"/>
      <c r="Y40" s="158"/>
      <c r="Z40" s="158"/>
      <c r="AA40" s="158"/>
      <c r="AB40" s="162"/>
      <c r="AC40" s="161">
        <v>2</v>
      </c>
      <c r="AD40" s="158"/>
      <c r="AE40" s="158">
        <v>1</v>
      </c>
      <c r="AF40" s="158"/>
      <c r="AG40" s="162"/>
      <c r="AH40" s="161">
        <v>0.25</v>
      </c>
      <c r="AI40" s="158"/>
      <c r="AJ40" s="158">
        <v>1</v>
      </c>
      <c r="AK40" s="158"/>
      <c r="AL40" s="162"/>
      <c r="AM40" s="175"/>
      <c r="AN40" s="176"/>
      <c r="AO40" s="176"/>
      <c r="AP40" s="176"/>
      <c r="AQ40" s="334"/>
      <c r="AR40" s="175"/>
      <c r="AS40" s="176"/>
      <c r="AT40" s="176"/>
      <c r="AU40" s="176"/>
      <c r="AV40" s="334"/>
      <c r="AW40" s="159">
        <v>2</v>
      </c>
      <c r="AX40" s="158"/>
      <c r="AY40" s="158"/>
      <c r="AZ40" s="158"/>
      <c r="BA40" s="162"/>
      <c r="BB40" s="159"/>
      <c r="BC40" s="158"/>
      <c r="BD40" s="158"/>
      <c r="BE40" s="158"/>
      <c r="BF40" s="162"/>
    </row>
    <row r="41" spans="2:58" x14ac:dyDescent="0.25">
      <c r="B41" s="227" t="s">
        <v>26</v>
      </c>
      <c r="C41" s="228">
        <f>C40+1</f>
        <v>45743</v>
      </c>
      <c r="D41" s="224">
        <f t="shared" si="13"/>
        <v>0</v>
      </c>
      <c r="E41" s="157">
        <f t="shared" si="12"/>
        <v>73.25</v>
      </c>
      <c r="F41" s="157">
        <f t="shared" si="12"/>
        <v>0</v>
      </c>
      <c r="G41" s="157">
        <f t="shared" si="12"/>
        <v>1</v>
      </c>
      <c r="H41" s="157">
        <f>SUM(L41,Q41,V41,AA41,AF41,AK41,AP41,AU41,BA41)</f>
        <v>0</v>
      </c>
      <c r="I41" s="161">
        <v>11</v>
      </c>
      <c r="J41" s="158"/>
      <c r="K41" s="158"/>
      <c r="L41" s="158"/>
      <c r="M41" s="162"/>
      <c r="N41" s="161">
        <v>57</v>
      </c>
      <c r="O41" s="158"/>
      <c r="P41" s="158"/>
      <c r="Q41" s="158"/>
      <c r="R41" s="162"/>
      <c r="S41" s="161">
        <v>3</v>
      </c>
      <c r="T41" s="158"/>
      <c r="U41" s="158"/>
      <c r="V41" s="158"/>
      <c r="W41" s="166"/>
      <c r="X41" s="161"/>
      <c r="Y41" s="158"/>
      <c r="Z41" s="158"/>
      <c r="AA41" s="158"/>
      <c r="AB41" s="162"/>
      <c r="AC41" s="161"/>
      <c r="AD41" s="158"/>
      <c r="AE41" s="158"/>
      <c r="AF41" s="158"/>
      <c r="AG41" s="162"/>
      <c r="AH41" s="161">
        <v>0.25</v>
      </c>
      <c r="AI41" s="158"/>
      <c r="AJ41" s="158">
        <v>1</v>
      </c>
      <c r="AK41" s="158"/>
      <c r="AL41" s="162"/>
      <c r="AM41" s="175"/>
      <c r="AN41" s="176"/>
      <c r="AO41" s="176"/>
      <c r="AP41" s="176"/>
      <c r="AQ41" s="334"/>
      <c r="AR41" s="175"/>
      <c r="AS41" s="176"/>
      <c r="AT41" s="176"/>
      <c r="AU41" s="176"/>
      <c r="AV41" s="334"/>
      <c r="AW41" s="159">
        <v>2</v>
      </c>
      <c r="AX41" s="158"/>
      <c r="AY41" s="158"/>
      <c r="AZ41" s="158"/>
      <c r="BA41" s="162"/>
      <c r="BB41" s="159"/>
      <c r="BC41" s="158"/>
      <c r="BD41" s="158"/>
      <c r="BE41" s="158"/>
      <c r="BF41" s="162"/>
    </row>
    <row r="42" spans="2:58" x14ac:dyDescent="0.25">
      <c r="B42" s="227" t="s">
        <v>32</v>
      </c>
      <c r="C42" s="228">
        <f>C41+1</f>
        <v>45744</v>
      </c>
      <c r="D42" s="224">
        <f t="shared" si="13"/>
        <v>0</v>
      </c>
      <c r="E42" s="157">
        <f t="shared" si="12"/>
        <v>50.25</v>
      </c>
      <c r="F42" s="157">
        <f t="shared" si="12"/>
        <v>0</v>
      </c>
      <c r="G42" s="157">
        <f t="shared" si="12"/>
        <v>2</v>
      </c>
      <c r="H42" s="157">
        <f>SUM(L42,Q42,V42,AA42,AF42,AK42,AP42,AU42,BA42)</f>
        <v>0</v>
      </c>
      <c r="I42" s="161">
        <v>11</v>
      </c>
      <c r="J42" s="158"/>
      <c r="K42" s="158"/>
      <c r="L42" s="158"/>
      <c r="M42" s="162"/>
      <c r="N42" s="161">
        <v>31</v>
      </c>
      <c r="O42" s="158"/>
      <c r="P42" s="158"/>
      <c r="Q42" s="158"/>
      <c r="R42" s="162"/>
      <c r="S42" s="161">
        <v>6</v>
      </c>
      <c r="T42" s="158"/>
      <c r="U42" s="158">
        <v>1</v>
      </c>
      <c r="V42" s="158"/>
      <c r="W42" s="166"/>
      <c r="X42" s="161"/>
      <c r="Y42" s="158"/>
      <c r="Z42" s="158"/>
      <c r="AA42" s="158"/>
      <c r="AB42" s="162"/>
      <c r="AC42" s="161"/>
      <c r="AD42" s="158"/>
      <c r="AE42" s="158"/>
      <c r="AF42" s="158"/>
      <c r="AG42" s="162"/>
      <c r="AH42" s="161">
        <v>1.25</v>
      </c>
      <c r="AI42" s="158"/>
      <c r="AJ42" s="158">
        <v>1</v>
      </c>
      <c r="AK42" s="158"/>
      <c r="AL42" s="162"/>
      <c r="AM42" s="175"/>
      <c r="AN42" s="176"/>
      <c r="AO42" s="176"/>
      <c r="AP42" s="176"/>
      <c r="AQ42" s="334"/>
      <c r="AR42" s="175"/>
      <c r="AS42" s="176"/>
      <c r="AT42" s="176"/>
      <c r="AU42" s="176"/>
      <c r="AV42" s="334"/>
      <c r="AW42" s="159">
        <v>1</v>
      </c>
      <c r="AX42" s="158"/>
      <c r="AY42" s="158"/>
      <c r="AZ42" s="158"/>
      <c r="BA42" s="162"/>
      <c r="BB42" s="159"/>
      <c r="BC42" s="158"/>
      <c r="BD42" s="158"/>
      <c r="BE42" s="158"/>
      <c r="BF42" s="162"/>
    </row>
    <row r="43" spans="2:58" x14ac:dyDescent="0.25">
      <c r="B43" s="276" t="s">
        <v>33</v>
      </c>
      <c r="C43" s="276"/>
      <c r="D43" s="225">
        <f t="shared" si="13"/>
        <v>0</v>
      </c>
      <c r="E43" s="170">
        <f t="shared" ref="E43:L43" si="14">SUM(E38:E42)</f>
        <v>289</v>
      </c>
      <c r="F43" s="170">
        <f t="shared" si="14"/>
        <v>0</v>
      </c>
      <c r="G43" s="170">
        <f t="shared" si="14"/>
        <v>13</v>
      </c>
      <c r="H43" s="170">
        <f t="shared" si="14"/>
        <v>0</v>
      </c>
      <c r="I43" s="172">
        <f t="shared" si="14"/>
        <v>55</v>
      </c>
      <c r="J43" s="170">
        <f t="shared" si="14"/>
        <v>0</v>
      </c>
      <c r="K43" s="170">
        <f t="shared" si="14"/>
        <v>0</v>
      </c>
      <c r="L43" s="170">
        <f t="shared" si="14"/>
        <v>0</v>
      </c>
      <c r="M43" s="171"/>
      <c r="N43" s="172">
        <f>SUM(N38:N42)</f>
        <v>174</v>
      </c>
      <c r="O43" s="170">
        <f>SUM(O38:O42)</f>
        <v>0</v>
      </c>
      <c r="P43" s="170">
        <f>SUM(P38:P42)</f>
        <v>1</v>
      </c>
      <c r="Q43" s="170">
        <f>SUM(Q38:Q42)</f>
        <v>0</v>
      </c>
      <c r="R43" s="171"/>
      <c r="S43" s="172">
        <f>SUM(S38:S42)</f>
        <v>20</v>
      </c>
      <c r="T43" s="170">
        <f>SUM(T38:T42)</f>
        <v>0</v>
      </c>
      <c r="U43" s="170">
        <f>SUM(U38:U42)</f>
        <v>1</v>
      </c>
      <c r="V43" s="170">
        <f>SUM(V38:V42)</f>
        <v>0</v>
      </c>
      <c r="W43" s="171"/>
      <c r="X43" s="172">
        <f>SUM(X38:X42)</f>
        <v>0</v>
      </c>
      <c r="Y43" s="170">
        <f>SUM(Y38:Y42)</f>
        <v>0</v>
      </c>
      <c r="Z43" s="170">
        <f>SUM(Z38:Z42)</f>
        <v>0</v>
      </c>
      <c r="AA43" s="170">
        <f>SUM(AA38:AA42)</f>
        <v>0</v>
      </c>
      <c r="AB43" s="171"/>
      <c r="AC43" s="172">
        <f>SUM(AC38:AC42)</f>
        <v>24</v>
      </c>
      <c r="AD43" s="170">
        <f>SUM(AD38:AD42)</f>
        <v>0</v>
      </c>
      <c r="AE43" s="170">
        <f>SUM(AE38:AE42)</f>
        <v>8</v>
      </c>
      <c r="AF43" s="170">
        <f>SUM(AF38:AF42)</f>
        <v>0</v>
      </c>
      <c r="AG43" s="171"/>
      <c r="AH43" s="172">
        <f>SUM(AH38:AH42)</f>
        <v>3</v>
      </c>
      <c r="AI43" s="170">
        <f>SUM(AI38:AI42)</f>
        <v>0</v>
      </c>
      <c r="AJ43" s="170">
        <f>SUM(AJ38:AJ42)</f>
        <v>3</v>
      </c>
      <c r="AK43" s="170">
        <f>SUM(AK38:AK42)</f>
        <v>0</v>
      </c>
      <c r="AL43" s="171"/>
      <c r="AM43" s="175"/>
      <c r="AN43" s="176"/>
      <c r="AO43" s="176"/>
      <c r="AP43" s="176"/>
      <c r="AQ43" s="334"/>
      <c r="AR43" s="175"/>
      <c r="AS43" s="176"/>
      <c r="AT43" s="176"/>
      <c r="AU43" s="176"/>
      <c r="AV43" s="334"/>
      <c r="AW43" s="172">
        <f>SUM(AW38:AW42)</f>
        <v>13</v>
      </c>
      <c r="AX43" s="170">
        <f>SUM(AX38:AX42)</f>
        <v>0</v>
      </c>
      <c r="AY43" s="170">
        <f>SUM(AY38:AY42)</f>
        <v>0</v>
      </c>
      <c r="AZ43" s="170">
        <f>SUM(AZ38:AZ42)</f>
        <v>0</v>
      </c>
      <c r="BA43" s="171"/>
      <c r="BB43" s="172"/>
      <c r="BC43" s="170"/>
      <c r="BD43" s="170"/>
      <c r="BE43" s="170"/>
      <c r="BF43" s="171"/>
    </row>
    <row r="44" spans="2:58" ht="14.45" customHeight="1" x14ac:dyDescent="0.25">
      <c r="B44" s="227" t="s">
        <v>25</v>
      </c>
      <c r="C44" s="228">
        <f>C42+3</f>
        <v>45747</v>
      </c>
      <c r="D44" s="224">
        <f t="shared" si="13"/>
        <v>0</v>
      </c>
      <c r="E44" s="157">
        <f t="shared" ref="E44:G48" si="15">SUM(I44,N44,S44,X44,AC44,AH44,AM44,AR44,AW44)</f>
        <v>58</v>
      </c>
      <c r="F44" s="157">
        <f t="shared" si="15"/>
        <v>0</v>
      </c>
      <c r="G44" s="157">
        <f t="shared" si="15"/>
        <v>2</v>
      </c>
      <c r="H44" s="157">
        <f>SUM(L44,Q44,V44,AA44,AF44,AK44,AP44,AU44,BA44)</f>
        <v>0</v>
      </c>
      <c r="I44" s="175"/>
      <c r="J44" s="176"/>
      <c r="K44" s="176"/>
      <c r="L44" s="176"/>
      <c r="M44" s="333" t="s">
        <v>49</v>
      </c>
      <c r="N44" s="181">
        <v>14</v>
      </c>
      <c r="O44" s="176"/>
      <c r="P44" s="176"/>
      <c r="Q44" s="176"/>
      <c r="R44" s="333" t="s">
        <v>49</v>
      </c>
      <c r="S44" s="161">
        <v>16</v>
      </c>
      <c r="T44" s="158"/>
      <c r="U44" s="158"/>
      <c r="V44" s="158"/>
      <c r="W44" s="166"/>
      <c r="X44" s="175"/>
      <c r="Y44" s="176"/>
      <c r="Z44" s="176"/>
      <c r="AA44" s="176"/>
      <c r="AB44" s="333" t="s">
        <v>49</v>
      </c>
      <c r="AC44" s="181">
        <v>28</v>
      </c>
      <c r="AD44" s="176"/>
      <c r="AE44" s="176"/>
      <c r="AF44" s="176"/>
      <c r="AG44" s="333" t="s">
        <v>49</v>
      </c>
      <c r="AH44" s="161"/>
      <c r="AI44" s="158"/>
      <c r="AJ44" s="158">
        <v>2</v>
      </c>
      <c r="AK44" s="158"/>
      <c r="AL44" s="162"/>
      <c r="AM44" s="175"/>
      <c r="AN44" s="176"/>
      <c r="AO44" s="176"/>
      <c r="AP44" s="176"/>
      <c r="AQ44" s="334"/>
      <c r="AR44" s="175"/>
      <c r="AS44" s="176"/>
      <c r="AT44" s="176"/>
      <c r="AU44" s="176"/>
      <c r="AV44" s="334"/>
      <c r="AW44" s="246"/>
      <c r="AX44" s="158"/>
      <c r="AY44" s="158"/>
      <c r="AZ44" s="158"/>
      <c r="BA44" s="162"/>
      <c r="BB44" s="159"/>
      <c r="BC44" s="158"/>
      <c r="BD44" s="158"/>
      <c r="BE44" s="158"/>
      <c r="BF44" s="162"/>
    </row>
    <row r="45" spans="2:58" x14ac:dyDescent="0.25">
      <c r="B45" s="227" t="s">
        <v>26</v>
      </c>
      <c r="C45" s="228">
        <f>C44+1</f>
        <v>45748</v>
      </c>
      <c r="D45" s="224">
        <f t="shared" si="13"/>
        <v>0</v>
      </c>
      <c r="E45" s="157">
        <f t="shared" si="15"/>
        <v>0</v>
      </c>
      <c r="F45" s="157">
        <f t="shared" si="15"/>
        <v>0</v>
      </c>
      <c r="G45" s="157">
        <f t="shared" si="15"/>
        <v>1</v>
      </c>
      <c r="H45" s="157">
        <f>SUM(L45,Q45,V45,AA45,AF45,AK45,AP45,AU45,BA45)</f>
        <v>0</v>
      </c>
      <c r="I45" s="175"/>
      <c r="J45" s="176"/>
      <c r="K45" s="176"/>
      <c r="L45" s="176"/>
      <c r="M45" s="334"/>
      <c r="N45" s="175"/>
      <c r="O45" s="176"/>
      <c r="P45" s="176"/>
      <c r="Q45" s="176"/>
      <c r="R45" s="334"/>
      <c r="S45" s="161"/>
      <c r="T45" s="158"/>
      <c r="U45" s="158"/>
      <c r="V45" s="158"/>
      <c r="W45" s="166"/>
      <c r="X45" s="175"/>
      <c r="Y45" s="176"/>
      <c r="Z45" s="176"/>
      <c r="AA45" s="176"/>
      <c r="AB45" s="334"/>
      <c r="AC45" s="175"/>
      <c r="AD45" s="176"/>
      <c r="AE45" s="176"/>
      <c r="AF45" s="176"/>
      <c r="AG45" s="334"/>
      <c r="AH45" s="161"/>
      <c r="AI45" s="158"/>
      <c r="AJ45" s="158">
        <v>1</v>
      </c>
      <c r="AK45" s="158"/>
      <c r="AL45" s="162"/>
      <c r="AM45" s="175"/>
      <c r="AN45" s="176"/>
      <c r="AO45" s="176"/>
      <c r="AP45" s="176"/>
      <c r="AQ45" s="334"/>
      <c r="AR45" s="175"/>
      <c r="AS45" s="176"/>
      <c r="AT45" s="176"/>
      <c r="AU45" s="176"/>
      <c r="AV45" s="334"/>
      <c r="AW45" s="159"/>
      <c r="AX45" s="158"/>
      <c r="AY45" s="158"/>
      <c r="AZ45" s="158"/>
      <c r="BA45" s="162"/>
      <c r="BB45" s="159"/>
      <c r="BC45" s="158"/>
      <c r="BD45" s="158"/>
      <c r="BE45" s="158"/>
      <c r="BF45" s="162"/>
    </row>
    <row r="46" spans="2:58" x14ac:dyDescent="0.25">
      <c r="B46" s="227" t="s">
        <v>27</v>
      </c>
      <c r="C46" s="228">
        <f>C45+1</f>
        <v>45749</v>
      </c>
      <c r="D46" s="224">
        <f t="shared" si="13"/>
        <v>0</v>
      </c>
      <c r="E46" s="157">
        <f t="shared" si="15"/>
        <v>0</v>
      </c>
      <c r="F46" s="157">
        <f t="shared" si="15"/>
        <v>0</v>
      </c>
      <c r="G46" s="157">
        <f t="shared" si="15"/>
        <v>1</v>
      </c>
      <c r="H46" s="157">
        <f>SUM(L46,Q46,V46,AA46,AF46,AK46,AP46,AU46,BA46)</f>
        <v>0</v>
      </c>
      <c r="I46" s="175"/>
      <c r="J46" s="176"/>
      <c r="K46" s="176"/>
      <c r="L46" s="176"/>
      <c r="M46" s="334"/>
      <c r="N46" s="175"/>
      <c r="O46" s="176"/>
      <c r="P46" s="176"/>
      <c r="Q46" s="176"/>
      <c r="R46" s="334"/>
      <c r="S46" s="161"/>
      <c r="T46" s="158"/>
      <c r="U46" s="158"/>
      <c r="V46" s="158"/>
      <c r="W46" s="166"/>
      <c r="X46" s="175"/>
      <c r="Y46" s="176"/>
      <c r="Z46" s="176"/>
      <c r="AA46" s="176"/>
      <c r="AB46" s="334"/>
      <c r="AC46" s="175"/>
      <c r="AD46" s="176"/>
      <c r="AE46" s="176"/>
      <c r="AF46" s="176"/>
      <c r="AG46" s="334"/>
      <c r="AH46" s="161"/>
      <c r="AI46" s="158"/>
      <c r="AJ46" s="158">
        <v>1</v>
      </c>
      <c r="AK46" s="158"/>
      <c r="AL46" s="162"/>
      <c r="AM46" s="175"/>
      <c r="AN46" s="176"/>
      <c r="AO46" s="176"/>
      <c r="AP46" s="176"/>
      <c r="AQ46" s="334"/>
      <c r="AR46" s="175"/>
      <c r="AS46" s="176"/>
      <c r="AT46" s="176"/>
      <c r="AU46" s="176"/>
      <c r="AV46" s="334"/>
      <c r="AW46" s="159"/>
      <c r="AX46" s="158"/>
      <c r="AY46" s="158"/>
      <c r="AZ46" s="158"/>
      <c r="BA46" s="162"/>
      <c r="BB46" s="159"/>
      <c r="BC46" s="158"/>
      <c r="BD46" s="158"/>
      <c r="BE46" s="158"/>
      <c r="BF46" s="162"/>
    </row>
    <row r="47" spans="2:58" x14ac:dyDescent="0.25">
      <c r="B47" s="227" t="s">
        <v>26</v>
      </c>
      <c r="C47" s="228">
        <f>C46+1</f>
        <v>45750</v>
      </c>
      <c r="D47" s="224">
        <f t="shared" si="13"/>
        <v>0</v>
      </c>
      <c r="E47" s="157">
        <f t="shared" si="15"/>
        <v>0</v>
      </c>
      <c r="F47" s="157">
        <f t="shared" si="15"/>
        <v>0</v>
      </c>
      <c r="G47" s="157">
        <f t="shared" si="15"/>
        <v>1</v>
      </c>
      <c r="H47" s="157">
        <f>SUM(L47,Q47,V47,AA47,AF47,AK47,AP47,AU47,BA47)</f>
        <v>0</v>
      </c>
      <c r="I47" s="175"/>
      <c r="J47" s="176"/>
      <c r="K47" s="176"/>
      <c r="L47" s="176"/>
      <c r="M47" s="334"/>
      <c r="N47" s="175"/>
      <c r="O47" s="176"/>
      <c r="P47" s="176"/>
      <c r="Q47" s="176"/>
      <c r="R47" s="334"/>
      <c r="S47" s="161"/>
      <c r="T47" s="158"/>
      <c r="U47" s="158"/>
      <c r="V47" s="158"/>
      <c r="W47" s="166"/>
      <c r="X47" s="175"/>
      <c r="Y47" s="176"/>
      <c r="Z47" s="176"/>
      <c r="AA47" s="176"/>
      <c r="AB47" s="334"/>
      <c r="AC47" s="175"/>
      <c r="AD47" s="176"/>
      <c r="AE47" s="176"/>
      <c r="AF47" s="176"/>
      <c r="AG47" s="334"/>
      <c r="AH47" s="161"/>
      <c r="AI47" s="158"/>
      <c r="AJ47" s="158">
        <v>1</v>
      </c>
      <c r="AK47" s="158"/>
      <c r="AL47" s="162"/>
      <c r="AM47" s="175"/>
      <c r="AN47" s="176"/>
      <c r="AO47" s="176"/>
      <c r="AP47" s="176"/>
      <c r="AQ47" s="334"/>
      <c r="AR47" s="175"/>
      <c r="AS47" s="176"/>
      <c r="AT47" s="176"/>
      <c r="AU47" s="176"/>
      <c r="AV47" s="334"/>
      <c r="AW47" s="159"/>
      <c r="AX47" s="158"/>
      <c r="AY47" s="158"/>
      <c r="AZ47" s="158"/>
      <c r="BA47" s="162"/>
      <c r="BB47" s="159"/>
      <c r="BC47" s="158"/>
      <c r="BD47" s="158"/>
      <c r="BE47" s="158"/>
      <c r="BF47" s="162"/>
    </row>
    <row r="48" spans="2:58" x14ac:dyDescent="0.25">
      <c r="B48" s="227" t="s">
        <v>32</v>
      </c>
      <c r="C48" s="228">
        <f>C47+1</f>
        <v>45751</v>
      </c>
      <c r="D48" s="224">
        <f t="shared" si="13"/>
        <v>0</v>
      </c>
      <c r="E48" s="157">
        <f t="shared" si="15"/>
        <v>0</v>
      </c>
      <c r="F48" s="157">
        <f t="shared" si="15"/>
        <v>0</v>
      </c>
      <c r="G48" s="157">
        <f t="shared" si="15"/>
        <v>1</v>
      </c>
      <c r="H48" s="157">
        <f>SUM(L48,Q48,V48,AA48,AF48,AK48,AP48,AU48,BA48)</f>
        <v>0</v>
      </c>
      <c r="I48" s="175"/>
      <c r="J48" s="176"/>
      <c r="K48" s="176"/>
      <c r="L48" s="176"/>
      <c r="M48" s="334"/>
      <c r="N48" s="175"/>
      <c r="O48" s="176"/>
      <c r="P48" s="176"/>
      <c r="Q48" s="176"/>
      <c r="R48" s="334"/>
      <c r="S48" s="161"/>
      <c r="T48" s="158"/>
      <c r="U48" s="158"/>
      <c r="V48" s="158"/>
      <c r="W48" s="166"/>
      <c r="X48" s="175"/>
      <c r="Y48" s="176"/>
      <c r="Z48" s="176"/>
      <c r="AA48" s="176"/>
      <c r="AB48" s="334"/>
      <c r="AC48" s="175"/>
      <c r="AD48" s="176"/>
      <c r="AE48" s="176"/>
      <c r="AF48" s="176"/>
      <c r="AG48" s="334"/>
      <c r="AH48" s="161"/>
      <c r="AI48" s="158"/>
      <c r="AJ48" s="158">
        <v>1</v>
      </c>
      <c r="AK48" s="158"/>
      <c r="AL48" s="162"/>
      <c r="AM48" s="175"/>
      <c r="AN48" s="176"/>
      <c r="AO48" s="176"/>
      <c r="AP48" s="176"/>
      <c r="AQ48" s="335"/>
      <c r="AR48" s="175"/>
      <c r="AS48" s="176"/>
      <c r="AT48" s="176"/>
      <c r="AU48" s="176"/>
      <c r="AV48" s="335"/>
      <c r="AW48" s="159"/>
      <c r="AX48" s="158"/>
      <c r="AY48" s="158"/>
      <c r="AZ48" s="158"/>
      <c r="BA48" s="162"/>
      <c r="BB48" s="159"/>
      <c r="BC48" s="158"/>
      <c r="BD48" s="158"/>
      <c r="BE48" s="158"/>
      <c r="BF48" s="162"/>
    </row>
    <row r="49" spans="2:58" x14ac:dyDescent="0.25">
      <c r="B49" s="276" t="s">
        <v>33</v>
      </c>
      <c r="C49" s="276"/>
      <c r="D49" s="225">
        <f t="shared" si="13"/>
        <v>0</v>
      </c>
      <c r="E49" s="170">
        <f>SUM(E44:E48)</f>
        <v>58</v>
      </c>
      <c r="F49" s="170">
        <f>SUM(F44:F48)</f>
        <v>0</v>
      </c>
      <c r="G49" s="170">
        <f>SUM(G44:G48)</f>
        <v>6</v>
      </c>
      <c r="H49" s="170">
        <f>SUM(H44:H48)</f>
        <v>0</v>
      </c>
      <c r="I49" s="175"/>
      <c r="J49" s="176"/>
      <c r="K49" s="176"/>
      <c r="L49" s="176"/>
      <c r="M49" s="334"/>
      <c r="N49" s="175"/>
      <c r="O49" s="176"/>
      <c r="P49" s="176"/>
      <c r="Q49" s="176"/>
      <c r="R49" s="334"/>
      <c r="S49" s="172">
        <f>SUM(S44:S48)</f>
        <v>16</v>
      </c>
      <c r="T49" s="170">
        <f>SUM(T44:T48)</f>
        <v>0</v>
      </c>
      <c r="U49" s="170">
        <f>SUM(U44:U48)</f>
        <v>0</v>
      </c>
      <c r="V49" s="170">
        <f>SUM(V44:V48)</f>
        <v>0</v>
      </c>
      <c r="W49" s="171"/>
      <c r="X49" s="175"/>
      <c r="Y49" s="176"/>
      <c r="Z49" s="176"/>
      <c r="AA49" s="176"/>
      <c r="AB49" s="334"/>
      <c r="AC49" s="175"/>
      <c r="AD49" s="176"/>
      <c r="AE49" s="176"/>
      <c r="AF49" s="176"/>
      <c r="AG49" s="334"/>
      <c r="AH49" s="172">
        <f>SUM(AH44:AH48)</f>
        <v>0</v>
      </c>
      <c r="AI49" s="170">
        <f>SUM(AI44:AI48)</f>
        <v>0</v>
      </c>
      <c r="AJ49" s="170">
        <f>SUM(AJ44:AJ48)</f>
        <v>6</v>
      </c>
      <c r="AK49" s="170">
        <f>SUM(AK44:AK48)</f>
        <v>0</v>
      </c>
      <c r="AL49" s="171"/>
      <c r="AM49" s="172"/>
      <c r="AN49" s="170"/>
      <c r="AO49" s="170"/>
      <c r="AP49" s="170"/>
      <c r="AQ49" s="171"/>
      <c r="AR49" s="172"/>
      <c r="AS49" s="170"/>
      <c r="AT49" s="170"/>
      <c r="AU49" s="170"/>
      <c r="AV49" s="171"/>
      <c r="AW49" s="174"/>
      <c r="AX49" s="170"/>
      <c r="AY49" s="170"/>
      <c r="AZ49" s="170"/>
      <c r="BA49" s="171"/>
      <c r="BB49" s="174"/>
      <c r="BC49" s="170"/>
      <c r="BD49" s="170"/>
      <c r="BE49" s="170"/>
      <c r="BF49" s="171"/>
    </row>
    <row r="50" spans="2:58" x14ac:dyDescent="0.25">
      <c r="B50" s="227" t="s">
        <v>25</v>
      </c>
      <c r="C50" s="228">
        <f>C48+3</f>
        <v>45754</v>
      </c>
      <c r="D50" s="224">
        <f t="shared" si="13"/>
        <v>0</v>
      </c>
      <c r="E50" s="157">
        <f t="shared" ref="E50:G54" si="16">SUM(I50,N50,S50,X50,AC50,AH50,AM50,AR50,AW50)</f>
        <v>0</v>
      </c>
      <c r="F50" s="157">
        <f t="shared" si="16"/>
        <v>0</v>
      </c>
      <c r="G50" s="157">
        <f t="shared" si="16"/>
        <v>0</v>
      </c>
      <c r="H50" s="157">
        <f>SUM(L50,Q50,V50,AA50,AF50,AK50,AP50,AU50,BA50)</f>
        <v>0</v>
      </c>
      <c r="I50" s="175"/>
      <c r="J50" s="176"/>
      <c r="K50" s="176"/>
      <c r="L50" s="176"/>
      <c r="M50" s="334"/>
      <c r="N50" s="175"/>
      <c r="O50" s="176"/>
      <c r="P50" s="176"/>
      <c r="Q50" s="176"/>
      <c r="R50" s="334"/>
      <c r="S50" s="175"/>
      <c r="T50" s="176"/>
      <c r="U50" s="176"/>
      <c r="V50" s="176"/>
      <c r="W50" s="333" t="s">
        <v>122</v>
      </c>
      <c r="X50" s="175"/>
      <c r="Y50" s="176"/>
      <c r="Z50" s="176"/>
      <c r="AA50" s="176"/>
      <c r="AB50" s="334"/>
      <c r="AC50" s="175"/>
      <c r="AD50" s="176"/>
      <c r="AE50" s="176"/>
      <c r="AF50" s="176"/>
      <c r="AG50" s="334"/>
      <c r="AH50" s="175"/>
      <c r="AI50" s="176"/>
      <c r="AJ50" s="176"/>
      <c r="AK50" s="176"/>
      <c r="AL50" s="333" t="s">
        <v>122</v>
      </c>
      <c r="AM50" s="177"/>
      <c r="AN50" s="178"/>
      <c r="AO50" s="178"/>
      <c r="AP50" s="178"/>
      <c r="AQ50" s="329" t="s">
        <v>123</v>
      </c>
      <c r="AR50" s="177"/>
      <c r="AS50" s="178"/>
      <c r="AT50" s="178"/>
      <c r="AU50" s="178"/>
      <c r="AV50" s="329" t="s">
        <v>123</v>
      </c>
      <c r="AW50" s="159"/>
      <c r="AX50" s="158"/>
      <c r="AY50" s="158"/>
      <c r="AZ50" s="158"/>
      <c r="BA50" s="162"/>
      <c r="BB50" s="177"/>
      <c r="BC50" s="158"/>
      <c r="BD50" s="158"/>
      <c r="BE50" s="158"/>
      <c r="BF50" s="162"/>
    </row>
    <row r="51" spans="2:58" x14ac:dyDescent="0.25">
      <c r="B51" s="227" t="s">
        <v>26</v>
      </c>
      <c r="C51" s="228">
        <f>C50+1</f>
        <v>45755</v>
      </c>
      <c r="D51" s="224">
        <f t="shared" si="13"/>
        <v>0</v>
      </c>
      <c r="E51" s="157">
        <f t="shared" si="16"/>
        <v>0</v>
      </c>
      <c r="F51" s="157">
        <f t="shared" si="16"/>
        <v>0</v>
      </c>
      <c r="G51" s="157">
        <f t="shared" si="16"/>
        <v>0</v>
      </c>
      <c r="H51" s="157">
        <f>SUM(L51,Q51,V51,AA51,AF51,AK51,AP51,AU51,BA51)</f>
        <v>0</v>
      </c>
      <c r="I51" s="175"/>
      <c r="J51" s="176"/>
      <c r="K51" s="176"/>
      <c r="L51" s="176"/>
      <c r="M51" s="334"/>
      <c r="N51" s="175"/>
      <c r="O51" s="176"/>
      <c r="P51" s="176"/>
      <c r="Q51" s="176"/>
      <c r="R51" s="334"/>
      <c r="S51" s="175"/>
      <c r="T51" s="176"/>
      <c r="U51" s="176"/>
      <c r="V51" s="176"/>
      <c r="W51" s="334"/>
      <c r="X51" s="175"/>
      <c r="Y51" s="176"/>
      <c r="Z51" s="176"/>
      <c r="AA51" s="176"/>
      <c r="AB51" s="334"/>
      <c r="AC51" s="175"/>
      <c r="AD51" s="176"/>
      <c r="AE51" s="176"/>
      <c r="AF51" s="176"/>
      <c r="AG51" s="334"/>
      <c r="AH51" s="175"/>
      <c r="AI51" s="176"/>
      <c r="AJ51" s="176"/>
      <c r="AK51" s="176"/>
      <c r="AL51" s="334"/>
      <c r="AM51" s="177"/>
      <c r="AN51" s="178"/>
      <c r="AO51" s="178"/>
      <c r="AP51" s="178"/>
      <c r="AQ51" s="330"/>
      <c r="AR51" s="177"/>
      <c r="AS51" s="178"/>
      <c r="AT51" s="178"/>
      <c r="AU51" s="178"/>
      <c r="AV51" s="330"/>
      <c r="AW51" s="159"/>
      <c r="AX51" s="158"/>
      <c r="AY51" s="158"/>
      <c r="AZ51" s="158"/>
      <c r="BA51" s="162"/>
      <c r="BB51" s="159"/>
      <c r="BC51" s="158"/>
      <c r="BD51" s="158"/>
      <c r="BE51" s="158"/>
      <c r="BF51" s="162"/>
    </row>
    <row r="52" spans="2:58" x14ac:dyDescent="0.25">
      <c r="B52" s="227" t="s">
        <v>27</v>
      </c>
      <c r="C52" s="228">
        <f>C51+1</f>
        <v>45756</v>
      </c>
      <c r="D52" s="224">
        <f t="shared" si="13"/>
        <v>0</v>
      </c>
      <c r="E52" s="157">
        <f t="shared" si="16"/>
        <v>0</v>
      </c>
      <c r="F52" s="157">
        <f t="shared" si="16"/>
        <v>0</v>
      </c>
      <c r="G52" s="157">
        <f t="shared" si="16"/>
        <v>0</v>
      </c>
      <c r="H52" s="157">
        <f>SUM(L52,Q52,V52,AA52,AF52,AK52,AP52,AU52,BA52)</f>
        <v>0</v>
      </c>
      <c r="I52" s="175"/>
      <c r="J52" s="176"/>
      <c r="K52" s="176"/>
      <c r="L52" s="176"/>
      <c r="M52" s="334"/>
      <c r="N52" s="175"/>
      <c r="O52" s="176"/>
      <c r="P52" s="176"/>
      <c r="Q52" s="176"/>
      <c r="R52" s="334"/>
      <c r="S52" s="175"/>
      <c r="T52" s="176"/>
      <c r="U52" s="176"/>
      <c r="V52" s="176"/>
      <c r="W52" s="334"/>
      <c r="X52" s="175"/>
      <c r="Y52" s="176"/>
      <c r="Z52" s="176"/>
      <c r="AA52" s="176"/>
      <c r="AB52" s="334"/>
      <c r="AC52" s="175"/>
      <c r="AD52" s="176"/>
      <c r="AE52" s="176"/>
      <c r="AF52" s="176"/>
      <c r="AG52" s="334"/>
      <c r="AH52" s="175"/>
      <c r="AI52" s="176"/>
      <c r="AJ52" s="176"/>
      <c r="AK52" s="176"/>
      <c r="AL52" s="334"/>
      <c r="AM52" s="177"/>
      <c r="AN52" s="178"/>
      <c r="AO52" s="178"/>
      <c r="AP52" s="178"/>
      <c r="AQ52" s="330"/>
      <c r="AR52" s="177"/>
      <c r="AS52" s="178"/>
      <c r="AT52" s="178"/>
      <c r="AU52" s="178"/>
      <c r="AV52" s="330"/>
      <c r="AW52" s="159"/>
      <c r="AX52" s="158"/>
      <c r="AY52" s="158"/>
      <c r="AZ52" s="158"/>
      <c r="BA52" s="162"/>
      <c r="BB52" s="159"/>
      <c r="BC52" s="158"/>
      <c r="BD52" s="158"/>
      <c r="BE52" s="158"/>
      <c r="BF52" s="162"/>
    </row>
    <row r="53" spans="2:58" x14ac:dyDescent="0.25">
      <c r="B53" s="227" t="s">
        <v>26</v>
      </c>
      <c r="C53" s="228">
        <f>C52+1</f>
        <v>45757</v>
      </c>
      <c r="D53" s="224">
        <f t="shared" si="13"/>
        <v>0</v>
      </c>
      <c r="E53" s="157">
        <f t="shared" si="16"/>
        <v>0</v>
      </c>
      <c r="F53" s="157">
        <f t="shared" si="16"/>
        <v>0</v>
      </c>
      <c r="G53" s="157">
        <f t="shared" si="16"/>
        <v>0</v>
      </c>
      <c r="H53" s="157">
        <f>SUM(L53,Q53,V53,AA53,AF53,AK53,AP53,AU53,BA53)</f>
        <v>0</v>
      </c>
      <c r="I53" s="175"/>
      <c r="J53" s="176"/>
      <c r="K53" s="176"/>
      <c r="L53" s="176"/>
      <c r="M53" s="334"/>
      <c r="N53" s="175"/>
      <c r="O53" s="176"/>
      <c r="P53" s="176"/>
      <c r="Q53" s="176"/>
      <c r="R53" s="334"/>
      <c r="S53" s="175"/>
      <c r="T53" s="176"/>
      <c r="U53" s="176"/>
      <c r="V53" s="176"/>
      <c r="W53" s="334"/>
      <c r="X53" s="175"/>
      <c r="Y53" s="176"/>
      <c r="Z53" s="176"/>
      <c r="AA53" s="176"/>
      <c r="AB53" s="334"/>
      <c r="AC53" s="175"/>
      <c r="AD53" s="176"/>
      <c r="AE53" s="176"/>
      <c r="AF53" s="176"/>
      <c r="AG53" s="334"/>
      <c r="AH53" s="175"/>
      <c r="AI53" s="176"/>
      <c r="AJ53" s="176"/>
      <c r="AK53" s="176"/>
      <c r="AL53" s="334"/>
      <c r="AM53" s="177"/>
      <c r="AN53" s="178"/>
      <c r="AO53" s="178"/>
      <c r="AP53" s="178"/>
      <c r="AQ53" s="330"/>
      <c r="AR53" s="177"/>
      <c r="AS53" s="178"/>
      <c r="AT53" s="178"/>
      <c r="AU53" s="178"/>
      <c r="AV53" s="330"/>
      <c r="AW53" s="159"/>
      <c r="AX53" s="158"/>
      <c r="AY53" s="158"/>
      <c r="AZ53" s="158"/>
      <c r="BA53" s="162"/>
      <c r="BB53" s="159"/>
      <c r="BC53" s="158"/>
      <c r="BD53" s="158"/>
      <c r="BE53" s="158"/>
      <c r="BF53" s="162"/>
    </row>
    <row r="54" spans="2:58" x14ac:dyDescent="0.25">
      <c r="B54" s="227" t="s">
        <v>32</v>
      </c>
      <c r="C54" s="228">
        <f>C53+1</f>
        <v>45758</v>
      </c>
      <c r="D54" s="224">
        <f t="shared" si="13"/>
        <v>0</v>
      </c>
      <c r="E54" s="157">
        <f t="shared" si="16"/>
        <v>0</v>
      </c>
      <c r="F54" s="157">
        <f t="shared" si="16"/>
        <v>0</v>
      </c>
      <c r="G54" s="157">
        <f t="shared" si="16"/>
        <v>0</v>
      </c>
      <c r="H54" s="157">
        <f>SUM(L54,Q54,V54,AA54,AF54,AK54,AP54,AU54,BA54)</f>
        <v>0</v>
      </c>
      <c r="I54" s="175"/>
      <c r="J54" s="176"/>
      <c r="K54" s="176"/>
      <c r="L54" s="176"/>
      <c r="M54" s="334"/>
      <c r="N54" s="175"/>
      <c r="O54" s="176"/>
      <c r="P54" s="176"/>
      <c r="Q54" s="176"/>
      <c r="R54" s="334"/>
      <c r="S54" s="175"/>
      <c r="T54" s="176"/>
      <c r="U54" s="176"/>
      <c r="V54" s="176"/>
      <c r="W54" s="334"/>
      <c r="X54" s="175"/>
      <c r="Y54" s="176"/>
      <c r="Z54" s="176"/>
      <c r="AA54" s="176"/>
      <c r="AB54" s="334"/>
      <c r="AC54" s="175"/>
      <c r="AD54" s="176"/>
      <c r="AE54" s="176"/>
      <c r="AF54" s="176"/>
      <c r="AG54" s="334"/>
      <c r="AH54" s="175"/>
      <c r="AI54" s="176"/>
      <c r="AJ54" s="176"/>
      <c r="AK54" s="176"/>
      <c r="AL54" s="334"/>
      <c r="AM54" s="177"/>
      <c r="AN54" s="178"/>
      <c r="AO54" s="178"/>
      <c r="AP54" s="178"/>
      <c r="AQ54" s="330"/>
      <c r="AR54" s="177"/>
      <c r="AS54" s="178"/>
      <c r="AT54" s="178"/>
      <c r="AU54" s="178"/>
      <c r="AV54" s="330"/>
      <c r="AW54" s="159"/>
      <c r="AX54" s="158"/>
      <c r="AY54" s="158"/>
      <c r="AZ54" s="158"/>
      <c r="BA54" s="162"/>
      <c r="BB54" s="159"/>
      <c r="BC54" s="158"/>
      <c r="BD54" s="158"/>
      <c r="BE54" s="158"/>
      <c r="BF54" s="162"/>
    </row>
    <row r="55" spans="2:58" x14ac:dyDescent="0.25">
      <c r="B55" s="276" t="s">
        <v>33</v>
      </c>
      <c r="C55" s="276"/>
      <c r="D55" s="225">
        <f t="shared" si="13"/>
        <v>0</v>
      </c>
      <c r="E55" s="170">
        <f>SUM(E50:E54)</f>
        <v>0</v>
      </c>
      <c r="F55" s="170">
        <f>SUM(F50:F54)</f>
        <v>0</v>
      </c>
      <c r="G55" s="170">
        <f>SUM(G50:G54)</f>
        <v>0</v>
      </c>
      <c r="H55" s="170">
        <f>SUM(H50:H54)</f>
        <v>0</v>
      </c>
      <c r="I55" s="175"/>
      <c r="J55" s="176"/>
      <c r="K55" s="176"/>
      <c r="L55" s="176"/>
      <c r="M55" s="334"/>
      <c r="N55" s="175"/>
      <c r="O55" s="176"/>
      <c r="P55" s="176"/>
      <c r="Q55" s="176"/>
      <c r="R55" s="334"/>
      <c r="S55" s="175"/>
      <c r="T55" s="176"/>
      <c r="U55" s="176"/>
      <c r="V55" s="176"/>
      <c r="W55" s="334"/>
      <c r="X55" s="175"/>
      <c r="Y55" s="176"/>
      <c r="Z55" s="176"/>
      <c r="AA55" s="176"/>
      <c r="AB55" s="334"/>
      <c r="AC55" s="175"/>
      <c r="AD55" s="176"/>
      <c r="AE55" s="176"/>
      <c r="AF55" s="176"/>
      <c r="AG55" s="334"/>
      <c r="AH55" s="175"/>
      <c r="AI55" s="176"/>
      <c r="AJ55" s="176"/>
      <c r="AK55" s="176"/>
      <c r="AL55" s="334"/>
      <c r="AM55" s="177"/>
      <c r="AN55" s="178"/>
      <c r="AO55" s="178"/>
      <c r="AP55" s="178"/>
      <c r="AQ55" s="330"/>
      <c r="AR55" s="177"/>
      <c r="AS55" s="178"/>
      <c r="AT55" s="178"/>
      <c r="AU55" s="178"/>
      <c r="AV55" s="330"/>
      <c r="AW55" s="174"/>
      <c r="AX55" s="170"/>
      <c r="AY55" s="170"/>
      <c r="AZ55" s="170"/>
      <c r="BA55" s="171"/>
      <c r="BB55" s="174"/>
      <c r="BC55" s="170"/>
      <c r="BD55" s="170"/>
      <c r="BE55" s="170"/>
      <c r="BF55" s="171"/>
    </row>
    <row r="56" spans="2:58" x14ac:dyDescent="0.25">
      <c r="B56" s="227" t="s">
        <v>25</v>
      </c>
      <c r="C56" s="228">
        <f>C54+3</f>
        <v>45761</v>
      </c>
      <c r="D56" s="224">
        <f t="shared" si="13"/>
        <v>0</v>
      </c>
      <c r="E56" s="157">
        <f t="shared" ref="E56:G60" si="17">SUM(I56,N56,S56,X56,AC56,AH56,AM56,AR56,AW56)</f>
        <v>0</v>
      </c>
      <c r="F56" s="157">
        <f t="shared" si="17"/>
        <v>0</v>
      </c>
      <c r="G56" s="157">
        <f t="shared" si="17"/>
        <v>0</v>
      </c>
      <c r="H56" s="157">
        <f>SUM(L56,Q56,V56,AA56,AF56,AK56,AP56,AU56,BA56)</f>
        <v>0</v>
      </c>
      <c r="I56" s="175"/>
      <c r="J56" s="176"/>
      <c r="K56" s="176"/>
      <c r="L56" s="176"/>
      <c r="M56" s="334"/>
      <c r="N56" s="175"/>
      <c r="O56" s="176"/>
      <c r="P56" s="176"/>
      <c r="Q56" s="176"/>
      <c r="R56" s="334"/>
      <c r="S56" s="175"/>
      <c r="T56" s="176"/>
      <c r="U56" s="176"/>
      <c r="V56" s="176"/>
      <c r="W56" s="334"/>
      <c r="X56" s="175"/>
      <c r="Y56" s="176"/>
      <c r="Z56" s="176"/>
      <c r="AA56" s="176"/>
      <c r="AB56" s="334"/>
      <c r="AC56" s="175"/>
      <c r="AD56" s="176"/>
      <c r="AE56" s="176"/>
      <c r="AF56" s="176"/>
      <c r="AG56" s="334"/>
      <c r="AH56" s="175"/>
      <c r="AI56" s="176"/>
      <c r="AJ56" s="176"/>
      <c r="AK56" s="176"/>
      <c r="AL56" s="334"/>
      <c r="AM56" s="177"/>
      <c r="AN56" s="178"/>
      <c r="AO56" s="178"/>
      <c r="AP56" s="178"/>
      <c r="AQ56" s="330"/>
      <c r="AR56" s="177"/>
      <c r="AS56" s="178"/>
      <c r="AT56" s="178"/>
      <c r="AU56" s="178"/>
      <c r="AV56" s="330"/>
      <c r="AW56" s="159"/>
      <c r="AX56" s="158"/>
      <c r="AY56" s="158"/>
      <c r="AZ56" s="158"/>
      <c r="BA56" s="162"/>
      <c r="BB56" s="159"/>
      <c r="BC56" s="158"/>
      <c r="BD56" s="158"/>
      <c r="BE56" s="158"/>
      <c r="BF56" s="162"/>
    </row>
    <row r="57" spans="2:58" x14ac:dyDescent="0.25">
      <c r="B57" s="227" t="s">
        <v>26</v>
      </c>
      <c r="C57" s="228">
        <f>C56+1</f>
        <v>45762</v>
      </c>
      <c r="D57" s="224">
        <f t="shared" si="13"/>
        <v>0</v>
      </c>
      <c r="E57" s="157">
        <f t="shared" si="17"/>
        <v>0</v>
      </c>
      <c r="F57" s="157">
        <f t="shared" si="17"/>
        <v>0</v>
      </c>
      <c r="G57" s="157">
        <f t="shared" si="17"/>
        <v>0</v>
      </c>
      <c r="H57" s="157">
        <f>SUM(L57,Q57,V57,AA57,AF57,AK57,AP57,AU57,BA57)</f>
        <v>0</v>
      </c>
      <c r="I57" s="175"/>
      <c r="J57" s="176"/>
      <c r="K57" s="176"/>
      <c r="L57" s="176"/>
      <c r="M57" s="334"/>
      <c r="N57" s="175"/>
      <c r="O57" s="176"/>
      <c r="P57" s="176"/>
      <c r="Q57" s="176"/>
      <c r="R57" s="334"/>
      <c r="S57" s="175"/>
      <c r="T57" s="176"/>
      <c r="U57" s="176"/>
      <c r="V57" s="176"/>
      <c r="W57" s="334"/>
      <c r="X57" s="175"/>
      <c r="Y57" s="176"/>
      <c r="Z57" s="176"/>
      <c r="AA57" s="176"/>
      <c r="AB57" s="334"/>
      <c r="AC57" s="175"/>
      <c r="AD57" s="176"/>
      <c r="AE57" s="176"/>
      <c r="AF57" s="176"/>
      <c r="AG57" s="334"/>
      <c r="AH57" s="175"/>
      <c r="AI57" s="176"/>
      <c r="AJ57" s="176"/>
      <c r="AK57" s="176"/>
      <c r="AL57" s="334"/>
      <c r="AM57" s="177"/>
      <c r="AN57" s="178"/>
      <c r="AO57" s="178"/>
      <c r="AP57" s="178"/>
      <c r="AQ57" s="330"/>
      <c r="AR57" s="177"/>
      <c r="AS57" s="178"/>
      <c r="AT57" s="178"/>
      <c r="AU57" s="178"/>
      <c r="AV57" s="330"/>
      <c r="AW57" s="159"/>
      <c r="AX57" s="158"/>
      <c r="AY57" s="158"/>
      <c r="AZ57" s="158"/>
      <c r="BA57" s="162"/>
      <c r="BB57" s="159"/>
      <c r="BC57" s="158"/>
      <c r="BD57" s="158"/>
      <c r="BE57" s="158"/>
      <c r="BF57" s="162"/>
    </row>
    <row r="58" spans="2:58" x14ac:dyDescent="0.25">
      <c r="B58" s="227" t="s">
        <v>27</v>
      </c>
      <c r="C58" s="228">
        <f>C57+1</f>
        <v>45763</v>
      </c>
      <c r="D58" s="224">
        <f t="shared" si="13"/>
        <v>0</v>
      </c>
      <c r="E58" s="157">
        <f t="shared" si="17"/>
        <v>0</v>
      </c>
      <c r="F58" s="157">
        <f t="shared" si="17"/>
        <v>0</v>
      </c>
      <c r="G58" s="157">
        <f t="shared" si="17"/>
        <v>0</v>
      </c>
      <c r="H58" s="157">
        <f>SUM(L58,Q58,V58,AA58,AF58,AK58,AP58,AU58,BA58)</f>
        <v>0</v>
      </c>
      <c r="I58" s="175"/>
      <c r="J58" s="176"/>
      <c r="K58" s="176"/>
      <c r="L58" s="176"/>
      <c r="M58" s="334"/>
      <c r="N58" s="175"/>
      <c r="O58" s="176"/>
      <c r="P58" s="176"/>
      <c r="Q58" s="176"/>
      <c r="R58" s="334"/>
      <c r="S58" s="175"/>
      <c r="T58" s="176"/>
      <c r="U58" s="176"/>
      <c r="V58" s="176"/>
      <c r="W58" s="334"/>
      <c r="X58" s="175"/>
      <c r="Y58" s="176"/>
      <c r="Z58" s="176"/>
      <c r="AA58" s="176"/>
      <c r="AB58" s="334"/>
      <c r="AC58" s="175"/>
      <c r="AD58" s="176"/>
      <c r="AE58" s="176"/>
      <c r="AF58" s="176"/>
      <c r="AG58" s="334"/>
      <c r="AH58" s="175"/>
      <c r="AI58" s="176"/>
      <c r="AJ58" s="176"/>
      <c r="AK58" s="176"/>
      <c r="AL58" s="334"/>
      <c r="AM58" s="177"/>
      <c r="AN58" s="178"/>
      <c r="AO58" s="178"/>
      <c r="AP58" s="178"/>
      <c r="AQ58" s="330"/>
      <c r="AR58" s="177"/>
      <c r="AS58" s="178"/>
      <c r="AT58" s="178"/>
      <c r="AU58" s="178"/>
      <c r="AV58" s="330"/>
      <c r="AW58" s="159"/>
      <c r="AX58" s="158"/>
      <c r="AY58" s="158"/>
      <c r="AZ58" s="158"/>
      <c r="BA58" s="162"/>
      <c r="BB58" s="159"/>
      <c r="BC58" s="158"/>
      <c r="BD58" s="158"/>
      <c r="BE58" s="158"/>
      <c r="BF58" s="162"/>
    </row>
    <row r="59" spans="2:58" x14ac:dyDescent="0.25">
      <c r="B59" s="227" t="s">
        <v>26</v>
      </c>
      <c r="C59" s="228">
        <f>C58+1</f>
        <v>45764</v>
      </c>
      <c r="D59" s="224">
        <f t="shared" si="13"/>
        <v>0</v>
      </c>
      <c r="E59" s="157">
        <f t="shared" si="17"/>
        <v>0</v>
      </c>
      <c r="F59" s="157">
        <f t="shared" si="17"/>
        <v>0</v>
      </c>
      <c r="G59" s="157">
        <f t="shared" si="17"/>
        <v>0</v>
      </c>
      <c r="H59" s="157">
        <f>SUM(L59,Q59,V59,AA59,AF59,AK59,AP59,AU59,BA59)</f>
        <v>0</v>
      </c>
      <c r="I59" s="175"/>
      <c r="J59" s="176"/>
      <c r="K59" s="176"/>
      <c r="L59" s="176"/>
      <c r="M59" s="334"/>
      <c r="N59" s="175"/>
      <c r="O59" s="176"/>
      <c r="P59" s="176"/>
      <c r="Q59" s="176"/>
      <c r="R59" s="334"/>
      <c r="S59" s="175"/>
      <c r="T59" s="176"/>
      <c r="U59" s="176"/>
      <c r="V59" s="176"/>
      <c r="W59" s="334"/>
      <c r="X59" s="175"/>
      <c r="Y59" s="176"/>
      <c r="Z59" s="176"/>
      <c r="AA59" s="176"/>
      <c r="AB59" s="334"/>
      <c r="AC59" s="175"/>
      <c r="AD59" s="176"/>
      <c r="AE59" s="176"/>
      <c r="AF59" s="176"/>
      <c r="AG59" s="334"/>
      <c r="AH59" s="175"/>
      <c r="AI59" s="176"/>
      <c r="AJ59" s="176"/>
      <c r="AK59" s="176"/>
      <c r="AL59" s="334"/>
      <c r="AM59" s="177"/>
      <c r="AN59" s="178"/>
      <c r="AO59" s="178"/>
      <c r="AP59" s="178"/>
      <c r="AQ59" s="330"/>
      <c r="AR59" s="177"/>
      <c r="AS59" s="178"/>
      <c r="AT59" s="178"/>
      <c r="AU59" s="178"/>
      <c r="AV59" s="330"/>
      <c r="AW59" s="159"/>
      <c r="AX59" s="158"/>
      <c r="AY59" s="158"/>
      <c r="AZ59" s="158"/>
      <c r="BA59" s="162"/>
      <c r="BB59" s="159"/>
      <c r="BC59" s="158"/>
      <c r="BD59" s="158"/>
      <c r="BE59" s="158"/>
      <c r="BF59" s="162"/>
    </row>
    <row r="60" spans="2:58" x14ac:dyDescent="0.25">
      <c r="B60" s="227" t="s">
        <v>32</v>
      </c>
      <c r="C60" s="228">
        <f>C59+1</f>
        <v>45765</v>
      </c>
      <c r="D60" s="224">
        <f t="shared" si="13"/>
        <v>0</v>
      </c>
      <c r="E60" s="157">
        <f t="shared" si="17"/>
        <v>0</v>
      </c>
      <c r="F60" s="157">
        <f t="shared" si="17"/>
        <v>0</v>
      </c>
      <c r="G60" s="157">
        <f t="shared" si="17"/>
        <v>0</v>
      </c>
      <c r="H60" s="157">
        <f>SUM(L60,Q60,V60,AA60,AF60,AK60,AP60,AU60,BA60)</f>
        <v>0</v>
      </c>
      <c r="I60" s="175"/>
      <c r="J60" s="176"/>
      <c r="K60" s="176"/>
      <c r="L60" s="176"/>
      <c r="M60" s="335"/>
      <c r="N60" s="175"/>
      <c r="O60" s="176"/>
      <c r="P60" s="176"/>
      <c r="Q60" s="176"/>
      <c r="R60" s="335"/>
      <c r="S60" s="175"/>
      <c r="T60" s="176"/>
      <c r="U60" s="176"/>
      <c r="V60" s="176"/>
      <c r="W60" s="335"/>
      <c r="X60" s="175"/>
      <c r="Y60" s="176"/>
      <c r="Z60" s="176"/>
      <c r="AA60" s="176"/>
      <c r="AB60" s="335"/>
      <c r="AC60" s="175"/>
      <c r="AD60" s="176"/>
      <c r="AE60" s="176"/>
      <c r="AF60" s="176"/>
      <c r="AG60" s="335"/>
      <c r="AH60" s="175"/>
      <c r="AI60" s="176"/>
      <c r="AJ60" s="176"/>
      <c r="AK60" s="176"/>
      <c r="AL60" s="335"/>
      <c r="AM60" s="177"/>
      <c r="AN60" s="178"/>
      <c r="AO60" s="178"/>
      <c r="AP60" s="178"/>
      <c r="AQ60" s="330"/>
      <c r="AR60" s="177"/>
      <c r="AS60" s="178"/>
      <c r="AT60" s="178"/>
      <c r="AU60" s="178"/>
      <c r="AV60" s="330"/>
      <c r="AW60" s="159"/>
      <c r="AX60" s="158"/>
      <c r="AY60" s="158"/>
      <c r="AZ60" s="158"/>
      <c r="BA60" s="162"/>
      <c r="BB60" s="159"/>
      <c r="BC60" s="158"/>
      <c r="BD60" s="158"/>
      <c r="BE60" s="158"/>
      <c r="BF60" s="162"/>
    </row>
    <row r="61" spans="2:58" x14ac:dyDescent="0.25">
      <c r="B61" s="276" t="s">
        <v>33</v>
      </c>
      <c r="C61" s="276"/>
      <c r="D61" s="225">
        <f t="shared" si="13"/>
        <v>0</v>
      </c>
      <c r="E61" s="170">
        <f>SUM(E56:E60)</f>
        <v>0</v>
      </c>
      <c r="F61" s="170">
        <f>SUM(F56:F60)</f>
        <v>0</v>
      </c>
      <c r="G61" s="170">
        <f>SUM(G56:G60)</f>
        <v>0</v>
      </c>
      <c r="H61" s="170">
        <f>SUM(H56:H60)</f>
        <v>0</v>
      </c>
      <c r="I61" s="172"/>
      <c r="J61" s="170"/>
      <c r="K61" s="170"/>
      <c r="L61" s="170"/>
      <c r="M61" s="171"/>
      <c r="N61" s="172"/>
      <c r="O61" s="170"/>
      <c r="P61" s="170"/>
      <c r="Q61" s="170"/>
      <c r="R61" s="171"/>
      <c r="S61" s="172"/>
      <c r="T61" s="170"/>
      <c r="U61" s="170"/>
      <c r="V61" s="170"/>
      <c r="W61" s="171"/>
      <c r="X61" s="172"/>
      <c r="Y61" s="170"/>
      <c r="Z61" s="170"/>
      <c r="AA61" s="170"/>
      <c r="AB61" s="171"/>
      <c r="AC61" s="172"/>
      <c r="AD61" s="170"/>
      <c r="AE61" s="170"/>
      <c r="AF61" s="170"/>
      <c r="AG61" s="171"/>
      <c r="AH61" s="172"/>
      <c r="AI61" s="170"/>
      <c r="AJ61" s="170"/>
      <c r="AK61" s="170"/>
      <c r="AL61" s="171"/>
      <c r="AM61" s="177"/>
      <c r="AN61" s="178"/>
      <c r="AO61" s="178"/>
      <c r="AP61" s="178"/>
      <c r="AQ61" s="330"/>
      <c r="AR61" s="177"/>
      <c r="AS61" s="178"/>
      <c r="AT61" s="178"/>
      <c r="AU61" s="178"/>
      <c r="AV61" s="330"/>
      <c r="AW61" s="174"/>
      <c r="AX61" s="170"/>
      <c r="AY61" s="170"/>
      <c r="AZ61" s="170"/>
      <c r="BA61" s="171"/>
      <c r="BB61" s="174"/>
      <c r="BC61" s="170"/>
      <c r="BD61" s="170"/>
      <c r="BE61" s="170"/>
      <c r="BF61" s="171"/>
    </row>
    <row r="62" spans="2:58" x14ac:dyDescent="0.25">
      <c r="B62" s="227" t="s">
        <v>25</v>
      </c>
      <c r="C62" s="228">
        <f>C60+3</f>
        <v>45768</v>
      </c>
      <c r="D62" s="224">
        <f t="shared" si="13"/>
        <v>0</v>
      </c>
      <c r="E62" s="157">
        <f t="shared" ref="E62:G66" si="18">SUM(I62,N62,S62,X62,AC62,AH62,AM62,AR62,AW62)</f>
        <v>0</v>
      </c>
      <c r="F62" s="157">
        <f t="shared" si="18"/>
        <v>0</v>
      </c>
      <c r="G62" s="157">
        <f t="shared" si="18"/>
        <v>0</v>
      </c>
      <c r="H62" s="157">
        <f>SUM(L62,Q62,V62,AA62,AF62,AK62,AP62,AU62,BA62)</f>
        <v>0</v>
      </c>
      <c r="I62" s="177"/>
      <c r="J62" s="178"/>
      <c r="K62" s="178"/>
      <c r="L62" s="178"/>
      <c r="M62" s="329" t="s">
        <v>123</v>
      </c>
      <c r="N62" s="177"/>
      <c r="O62" s="178"/>
      <c r="P62" s="178"/>
      <c r="Q62" s="178"/>
      <c r="R62" s="329" t="s">
        <v>123</v>
      </c>
      <c r="S62" s="177"/>
      <c r="T62" s="178"/>
      <c r="U62" s="178"/>
      <c r="V62" s="178"/>
      <c r="W62" s="329" t="s">
        <v>123</v>
      </c>
      <c r="X62" s="177"/>
      <c r="Y62" s="178"/>
      <c r="Z62" s="178"/>
      <c r="AA62" s="178"/>
      <c r="AB62" s="329" t="s">
        <v>123</v>
      </c>
      <c r="AC62" s="177"/>
      <c r="AD62" s="178"/>
      <c r="AE62" s="178"/>
      <c r="AF62" s="178"/>
      <c r="AG62" s="329" t="s">
        <v>123</v>
      </c>
      <c r="AH62" s="177"/>
      <c r="AI62" s="178"/>
      <c r="AJ62" s="178"/>
      <c r="AK62" s="178"/>
      <c r="AL62" s="329" t="s">
        <v>123</v>
      </c>
      <c r="AM62" s="177"/>
      <c r="AN62" s="178"/>
      <c r="AO62" s="178"/>
      <c r="AP62" s="178"/>
      <c r="AQ62" s="330"/>
      <c r="AR62" s="177"/>
      <c r="AS62" s="178"/>
      <c r="AT62" s="178"/>
      <c r="AU62" s="178"/>
      <c r="AV62" s="330"/>
      <c r="AW62" s="245"/>
      <c r="AX62" s="158"/>
      <c r="AY62" s="158"/>
      <c r="AZ62" s="158"/>
      <c r="BA62" s="162"/>
      <c r="BB62" s="159"/>
      <c r="BC62" s="158"/>
      <c r="BD62" s="158"/>
      <c r="BE62" s="158"/>
      <c r="BF62" s="162"/>
    </row>
    <row r="63" spans="2:58" x14ac:dyDescent="0.25">
      <c r="B63" s="227" t="s">
        <v>26</v>
      </c>
      <c r="C63" s="228">
        <f>C62+1</f>
        <v>45769</v>
      </c>
      <c r="D63" s="224">
        <f t="shared" si="13"/>
        <v>0</v>
      </c>
      <c r="E63" s="157">
        <f t="shared" si="18"/>
        <v>0</v>
      </c>
      <c r="F63" s="157">
        <f t="shared" si="18"/>
        <v>0</v>
      </c>
      <c r="G63" s="157">
        <f t="shared" si="18"/>
        <v>0</v>
      </c>
      <c r="H63" s="157">
        <f>SUM(L63,Q63,V63,AA63,AF63,AK63,AP63,AU63,BA63)</f>
        <v>0</v>
      </c>
      <c r="I63" s="177"/>
      <c r="J63" s="178"/>
      <c r="K63" s="178"/>
      <c r="L63" s="178"/>
      <c r="M63" s="330"/>
      <c r="N63" s="177"/>
      <c r="O63" s="178"/>
      <c r="P63" s="178"/>
      <c r="Q63" s="178"/>
      <c r="R63" s="330"/>
      <c r="S63" s="177"/>
      <c r="T63" s="178"/>
      <c r="U63" s="178"/>
      <c r="V63" s="178"/>
      <c r="W63" s="330"/>
      <c r="X63" s="177"/>
      <c r="Y63" s="178"/>
      <c r="Z63" s="178"/>
      <c r="AA63" s="178"/>
      <c r="AB63" s="330"/>
      <c r="AC63" s="177"/>
      <c r="AD63" s="178"/>
      <c r="AE63" s="178"/>
      <c r="AF63" s="178"/>
      <c r="AG63" s="330"/>
      <c r="AH63" s="177"/>
      <c r="AI63" s="178"/>
      <c r="AJ63" s="178"/>
      <c r="AK63" s="178"/>
      <c r="AL63" s="330"/>
      <c r="AM63" s="177"/>
      <c r="AN63" s="178"/>
      <c r="AO63" s="178"/>
      <c r="AP63" s="178"/>
      <c r="AQ63" s="330"/>
      <c r="AR63" s="177"/>
      <c r="AS63" s="178"/>
      <c r="AT63" s="178"/>
      <c r="AU63" s="178"/>
      <c r="AV63" s="330"/>
      <c r="AW63" s="159"/>
      <c r="AX63" s="158"/>
      <c r="AY63" s="158"/>
      <c r="AZ63" s="158"/>
      <c r="BA63" s="162"/>
      <c r="BB63" s="159"/>
      <c r="BC63" s="158"/>
      <c r="BD63" s="158"/>
      <c r="BE63" s="158"/>
      <c r="BF63" s="162"/>
    </row>
    <row r="64" spans="2:58" x14ac:dyDescent="0.25">
      <c r="B64" s="227" t="s">
        <v>27</v>
      </c>
      <c r="C64" s="228">
        <f>C63+1</f>
        <v>45770</v>
      </c>
      <c r="D64" s="224">
        <f t="shared" si="13"/>
        <v>0</v>
      </c>
      <c r="E64" s="157">
        <f t="shared" si="18"/>
        <v>0</v>
      </c>
      <c r="F64" s="157">
        <f t="shared" si="18"/>
        <v>0</v>
      </c>
      <c r="G64" s="157">
        <f t="shared" si="18"/>
        <v>0</v>
      </c>
      <c r="H64" s="157">
        <f>SUM(L64,Q64,V64,AA64,AF64,AK64,AP64,AU64,BA64)</f>
        <v>0</v>
      </c>
      <c r="I64" s="177"/>
      <c r="J64" s="178"/>
      <c r="K64" s="178"/>
      <c r="L64" s="178"/>
      <c r="M64" s="330"/>
      <c r="N64" s="177"/>
      <c r="O64" s="178"/>
      <c r="P64" s="178"/>
      <c r="Q64" s="178"/>
      <c r="R64" s="330"/>
      <c r="S64" s="177"/>
      <c r="T64" s="178"/>
      <c r="U64" s="178"/>
      <c r="V64" s="178"/>
      <c r="W64" s="330"/>
      <c r="X64" s="177"/>
      <c r="Y64" s="178"/>
      <c r="Z64" s="178"/>
      <c r="AA64" s="178"/>
      <c r="AB64" s="330"/>
      <c r="AC64" s="177"/>
      <c r="AD64" s="178"/>
      <c r="AE64" s="178"/>
      <c r="AF64" s="178"/>
      <c r="AG64" s="330"/>
      <c r="AH64" s="177"/>
      <c r="AI64" s="178"/>
      <c r="AJ64" s="178"/>
      <c r="AK64" s="178"/>
      <c r="AL64" s="330"/>
      <c r="AM64" s="177"/>
      <c r="AN64" s="178"/>
      <c r="AO64" s="178"/>
      <c r="AP64" s="178"/>
      <c r="AQ64" s="330"/>
      <c r="AR64" s="177"/>
      <c r="AS64" s="178"/>
      <c r="AT64" s="178"/>
      <c r="AU64" s="178"/>
      <c r="AV64" s="330"/>
      <c r="AW64" s="159"/>
      <c r="AX64" s="158"/>
      <c r="AY64" s="158"/>
      <c r="AZ64" s="158"/>
      <c r="BA64" s="162"/>
      <c r="BB64" s="159"/>
      <c r="BC64" s="158"/>
      <c r="BD64" s="158"/>
      <c r="BE64" s="158"/>
      <c r="BF64" s="162"/>
    </row>
    <row r="65" spans="2:58" x14ac:dyDescent="0.25">
      <c r="B65" s="227" t="s">
        <v>26</v>
      </c>
      <c r="C65" s="228">
        <f>C64+1</f>
        <v>45771</v>
      </c>
      <c r="D65" s="224">
        <f t="shared" si="13"/>
        <v>0</v>
      </c>
      <c r="E65" s="157">
        <f t="shared" si="18"/>
        <v>0</v>
      </c>
      <c r="F65" s="157">
        <f t="shared" si="18"/>
        <v>0</v>
      </c>
      <c r="G65" s="157">
        <f t="shared" si="18"/>
        <v>0</v>
      </c>
      <c r="H65" s="157">
        <f>SUM(L65,Q65,V65,AA65,AF65,AK65,AP65,AU65,BA65)</f>
        <v>0</v>
      </c>
      <c r="I65" s="177"/>
      <c r="J65" s="178"/>
      <c r="K65" s="178"/>
      <c r="L65" s="178"/>
      <c r="M65" s="330"/>
      <c r="N65" s="177"/>
      <c r="O65" s="178"/>
      <c r="P65" s="178"/>
      <c r="Q65" s="178"/>
      <c r="R65" s="330"/>
      <c r="S65" s="177"/>
      <c r="T65" s="178"/>
      <c r="U65" s="178"/>
      <c r="V65" s="178"/>
      <c r="W65" s="330"/>
      <c r="X65" s="177"/>
      <c r="Y65" s="178"/>
      <c r="Z65" s="178"/>
      <c r="AA65" s="178"/>
      <c r="AB65" s="330"/>
      <c r="AC65" s="177"/>
      <c r="AD65" s="178"/>
      <c r="AE65" s="178"/>
      <c r="AF65" s="178"/>
      <c r="AG65" s="330"/>
      <c r="AH65" s="177"/>
      <c r="AI65" s="178"/>
      <c r="AJ65" s="178"/>
      <c r="AK65" s="178"/>
      <c r="AL65" s="330"/>
      <c r="AM65" s="177"/>
      <c r="AN65" s="178"/>
      <c r="AO65" s="178"/>
      <c r="AP65" s="178"/>
      <c r="AQ65" s="330"/>
      <c r="AR65" s="177"/>
      <c r="AS65" s="178"/>
      <c r="AT65" s="178"/>
      <c r="AU65" s="178"/>
      <c r="AV65" s="330"/>
      <c r="AW65" s="159"/>
      <c r="AX65" s="158"/>
      <c r="AY65" s="158"/>
      <c r="AZ65" s="158"/>
      <c r="BA65" s="162"/>
      <c r="BB65" s="159"/>
      <c r="BC65" s="158"/>
      <c r="BD65" s="158"/>
      <c r="BE65" s="158"/>
      <c r="BF65" s="162"/>
    </row>
    <row r="66" spans="2:58" x14ac:dyDescent="0.25">
      <c r="B66" s="227" t="s">
        <v>32</v>
      </c>
      <c r="C66" s="228">
        <f>C65+1</f>
        <v>45772</v>
      </c>
      <c r="D66" s="224">
        <f t="shared" si="13"/>
        <v>0</v>
      </c>
      <c r="E66" s="157">
        <f t="shared" si="18"/>
        <v>0</v>
      </c>
      <c r="F66" s="157">
        <f t="shared" si="18"/>
        <v>0</v>
      </c>
      <c r="G66" s="157">
        <f t="shared" si="18"/>
        <v>0</v>
      </c>
      <c r="H66" s="157">
        <f>SUM(L66,Q66,V66,AA66,AF66,AK66,AP66,AU66,BA66)</f>
        <v>0</v>
      </c>
      <c r="I66" s="177"/>
      <c r="J66" s="178"/>
      <c r="K66" s="178"/>
      <c r="L66" s="178"/>
      <c r="M66" s="330"/>
      <c r="N66" s="177"/>
      <c r="O66" s="178"/>
      <c r="P66" s="178"/>
      <c r="Q66" s="178"/>
      <c r="R66" s="330"/>
      <c r="S66" s="177"/>
      <c r="T66" s="178"/>
      <c r="U66" s="178"/>
      <c r="V66" s="178"/>
      <c r="W66" s="330"/>
      <c r="X66" s="177"/>
      <c r="Y66" s="178"/>
      <c r="Z66" s="178"/>
      <c r="AA66" s="178"/>
      <c r="AB66" s="330"/>
      <c r="AC66" s="177"/>
      <c r="AD66" s="178"/>
      <c r="AE66" s="178"/>
      <c r="AF66" s="178"/>
      <c r="AG66" s="330"/>
      <c r="AH66" s="177"/>
      <c r="AI66" s="178"/>
      <c r="AJ66" s="178"/>
      <c r="AK66" s="178"/>
      <c r="AL66" s="330"/>
      <c r="AM66" s="177"/>
      <c r="AN66" s="178"/>
      <c r="AO66" s="178"/>
      <c r="AP66" s="178"/>
      <c r="AQ66" s="331"/>
      <c r="AR66" s="177"/>
      <c r="AS66" s="178"/>
      <c r="AT66" s="178"/>
      <c r="AU66" s="178"/>
      <c r="AV66" s="331"/>
      <c r="AW66" s="159"/>
      <c r="AX66" s="158"/>
      <c r="AY66" s="158"/>
      <c r="AZ66" s="158"/>
      <c r="BA66" s="162"/>
      <c r="BB66" s="159"/>
      <c r="BC66" s="158"/>
      <c r="BD66" s="158"/>
      <c r="BE66" s="158"/>
      <c r="BF66" s="162"/>
    </row>
    <row r="67" spans="2:58" x14ac:dyDescent="0.25">
      <c r="B67" s="276" t="s">
        <v>33</v>
      </c>
      <c r="C67" s="276"/>
      <c r="D67" s="225">
        <f t="shared" si="13"/>
        <v>0</v>
      </c>
      <c r="E67" s="170">
        <f>SUM(E62:E66)</f>
        <v>0</v>
      </c>
      <c r="F67" s="170">
        <f>SUM(F62:F66)</f>
        <v>0</v>
      </c>
      <c r="G67" s="170">
        <f>SUM(G62:G66)</f>
        <v>0</v>
      </c>
      <c r="H67" s="170">
        <f>SUM(H62:H66)</f>
        <v>0</v>
      </c>
      <c r="I67" s="177"/>
      <c r="J67" s="178"/>
      <c r="K67" s="178"/>
      <c r="L67" s="178"/>
      <c r="M67" s="330"/>
      <c r="N67" s="177"/>
      <c r="O67" s="178"/>
      <c r="P67" s="178"/>
      <c r="Q67" s="178"/>
      <c r="R67" s="330"/>
      <c r="S67" s="177"/>
      <c r="T67" s="178"/>
      <c r="U67" s="178"/>
      <c r="V67" s="178"/>
      <c r="W67" s="330"/>
      <c r="X67" s="177"/>
      <c r="Y67" s="178"/>
      <c r="Z67" s="178"/>
      <c r="AA67" s="178"/>
      <c r="AB67" s="330"/>
      <c r="AC67" s="177"/>
      <c r="AD67" s="178"/>
      <c r="AE67" s="178"/>
      <c r="AF67" s="178"/>
      <c r="AG67" s="330"/>
      <c r="AH67" s="177"/>
      <c r="AI67" s="178"/>
      <c r="AJ67" s="178"/>
      <c r="AK67" s="178"/>
      <c r="AL67" s="330"/>
      <c r="AM67" s="172"/>
      <c r="AN67" s="170"/>
      <c r="AO67" s="170"/>
      <c r="AP67" s="170"/>
      <c r="AQ67" s="171"/>
      <c r="AR67" s="172"/>
      <c r="AS67" s="170"/>
      <c r="AT67" s="170"/>
      <c r="AU67" s="170"/>
      <c r="AV67" s="171"/>
      <c r="AW67" s="174"/>
      <c r="AX67" s="170"/>
      <c r="AY67" s="170"/>
      <c r="AZ67" s="170"/>
      <c r="BA67" s="171"/>
      <c r="BB67" s="174"/>
      <c r="BC67" s="170"/>
      <c r="BD67" s="170"/>
      <c r="BE67" s="170"/>
      <c r="BF67" s="171"/>
    </row>
    <row r="68" spans="2:58" x14ac:dyDescent="0.25">
      <c r="B68" s="227" t="s">
        <v>25</v>
      </c>
      <c r="C68" s="228">
        <f>C66+3</f>
        <v>45775</v>
      </c>
      <c r="D68" s="224">
        <f t="shared" si="13"/>
        <v>0</v>
      </c>
      <c r="E68" s="157">
        <f t="shared" ref="E68:G70" si="19">SUM(I68,N68,S68,X68,AC68,AH68,AM68,AR68,AW68)</f>
        <v>0</v>
      </c>
      <c r="F68" s="157">
        <f t="shared" si="19"/>
        <v>0</v>
      </c>
      <c r="G68" s="157">
        <f t="shared" si="19"/>
        <v>0</v>
      </c>
      <c r="H68" s="157">
        <f>SUM(L68,Q68,V68,AA68,AF68,AK68,AP68,AU68,BA68)</f>
        <v>0</v>
      </c>
      <c r="I68" s="177"/>
      <c r="J68" s="178"/>
      <c r="K68" s="178"/>
      <c r="L68" s="178"/>
      <c r="M68" s="330"/>
      <c r="N68" s="177"/>
      <c r="O68" s="178"/>
      <c r="P68" s="178"/>
      <c r="Q68" s="178"/>
      <c r="R68" s="330"/>
      <c r="S68" s="177"/>
      <c r="T68" s="178"/>
      <c r="U68" s="178"/>
      <c r="V68" s="178"/>
      <c r="W68" s="330"/>
      <c r="X68" s="177"/>
      <c r="Y68" s="178"/>
      <c r="Z68" s="178"/>
      <c r="AA68" s="178"/>
      <c r="AB68" s="330"/>
      <c r="AC68" s="177"/>
      <c r="AD68" s="178"/>
      <c r="AE68" s="178"/>
      <c r="AF68" s="178"/>
      <c r="AG68" s="330"/>
      <c r="AH68" s="177"/>
      <c r="AI68" s="178"/>
      <c r="AJ68" s="178"/>
      <c r="AK68" s="178"/>
      <c r="AL68" s="330"/>
      <c r="AM68" s="320" t="s">
        <v>124</v>
      </c>
      <c r="AN68" s="321"/>
      <c r="AO68" s="321"/>
      <c r="AP68" s="321"/>
      <c r="AQ68" s="322"/>
      <c r="AR68" s="320" t="s">
        <v>124</v>
      </c>
      <c r="AS68" s="321"/>
      <c r="AT68" s="321"/>
      <c r="AU68" s="321"/>
      <c r="AV68" s="322"/>
      <c r="AW68" s="159"/>
      <c r="AX68" s="158"/>
      <c r="AY68" s="158"/>
      <c r="AZ68" s="158"/>
      <c r="BA68" s="162"/>
      <c r="BB68" s="159"/>
      <c r="BC68" s="158"/>
      <c r="BD68" s="158"/>
      <c r="BE68" s="158"/>
      <c r="BF68" s="162"/>
    </row>
    <row r="69" spans="2:58" x14ac:dyDescent="0.25">
      <c r="B69" s="227" t="s">
        <v>26</v>
      </c>
      <c r="C69" s="228">
        <f>C68+1</f>
        <v>45776</v>
      </c>
      <c r="D69" s="224">
        <f t="shared" si="13"/>
        <v>0</v>
      </c>
      <c r="E69" s="157">
        <f t="shared" si="19"/>
        <v>0</v>
      </c>
      <c r="F69" s="157">
        <f t="shared" si="19"/>
        <v>0</v>
      </c>
      <c r="G69" s="157">
        <f t="shared" si="19"/>
        <v>0</v>
      </c>
      <c r="H69" s="157">
        <f>SUM(L69,Q69,V69,AA69,AF69,AK69,AP69,AU69,BA69)</f>
        <v>0</v>
      </c>
      <c r="I69" s="177"/>
      <c r="J69" s="178"/>
      <c r="K69" s="178"/>
      <c r="L69" s="178"/>
      <c r="M69" s="330"/>
      <c r="N69" s="177"/>
      <c r="O69" s="178"/>
      <c r="P69" s="178"/>
      <c r="Q69" s="178"/>
      <c r="R69" s="330"/>
      <c r="S69" s="177"/>
      <c r="T69" s="178"/>
      <c r="U69" s="178"/>
      <c r="V69" s="178"/>
      <c r="W69" s="330"/>
      <c r="X69" s="177"/>
      <c r="Y69" s="178"/>
      <c r="Z69" s="178"/>
      <c r="AA69" s="178"/>
      <c r="AB69" s="330"/>
      <c r="AC69" s="177"/>
      <c r="AD69" s="178"/>
      <c r="AE69" s="178"/>
      <c r="AF69" s="178"/>
      <c r="AG69" s="330"/>
      <c r="AH69" s="177"/>
      <c r="AI69" s="178"/>
      <c r="AJ69" s="178"/>
      <c r="AK69" s="178"/>
      <c r="AL69" s="330"/>
      <c r="AM69" s="323"/>
      <c r="AN69" s="324"/>
      <c r="AO69" s="324"/>
      <c r="AP69" s="324"/>
      <c r="AQ69" s="325"/>
      <c r="AR69" s="323"/>
      <c r="AS69" s="324"/>
      <c r="AT69" s="324"/>
      <c r="AU69" s="324"/>
      <c r="AV69" s="325"/>
      <c r="AW69" s="159"/>
      <c r="AX69" s="158"/>
      <c r="AY69" s="158"/>
      <c r="AZ69" s="158"/>
      <c r="BA69" s="162"/>
      <c r="BB69" s="159"/>
      <c r="BC69" s="158"/>
      <c r="BD69" s="158"/>
      <c r="BE69" s="158"/>
      <c r="BF69" s="162"/>
    </row>
    <row r="70" spans="2:58" ht="15.75" thickBot="1" x14ac:dyDescent="0.3">
      <c r="B70" s="227" t="s">
        <v>27</v>
      </c>
      <c r="C70" s="228">
        <f>C69+1</f>
        <v>45777</v>
      </c>
      <c r="D70" s="226">
        <f t="shared" si="13"/>
        <v>0</v>
      </c>
      <c r="E70" s="160">
        <f t="shared" si="19"/>
        <v>0</v>
      </c>
      <c r="F70" s="160">
        <f t="shared" si="19"/>
        <v>0</v>
      </c>
      <c r="G70" s="160">
        <f t="shared" si="19"/>
        <v>0</v>
      </c>
      <c r="H70" s="160">
        <f>SUM(L70,Q70,V70,AA70,AF70,AK70,AP70,AU70,BA70)</f>
        <v>0</v>
      </c>
      <c r="I70" s="179"/>
      <c r="J70" s="180"/>
      <c r="K70" s="180"/>
      <c r="L70" s="180"/>
      <c r="M70" s="332"/>
      <c r="N70" s="179"/>
      <c r="O70" s="180"/>
      <c r="P70" s="180"/>
      <c r="Q70" s="180"/>
      <c r="R70" s="332"/>
      <c r="S70" s="179"/>
      <c r="T70" s="180"/>
      <c r="U70" s="180"/>
      <c r="V70" s="180"/>
      <c r="W70" s="332"/>
      <c r="X70" s="179"/>
      <c r="Y70" s="180"/>
      <c r="Z70" s="180"/>
      <c r="AA70" s="180"/>
      <c r="AB70" s="332"/>
      <c r="AC70" s="179"/>
      <c r="AD70" s="180"/>
      <c r="AE70" s="180"/>
      <c r="AF70" s="180"/>
      <c r="AG70" s="332"/>
      <c r="AH70" s="179"/>
      <c r="AI70" s="180"/>
      <c r="AJ70" s="180"/>
      <c r="AK70" s="180"/>
      <c r="AL70" s="332"/>
      <c r="AM70" s="326"/>
      <c r="AN70" s="327"/>
      <c r="AO70" s="327"/>
      <c r="AP70" s="327"/>
      <c r="AQ70" s="328"/>
      <c r="AR70" s="326"/>
      <c r="AS70" s="327"/>
      <c r="AT70" s="327"/>
      <c r="AU70" s="327"/>
      <c r="AV70" s="328"/>
      <c r="AW70" s="167"/>
      <c r="AX70" s="163"/>
      <c r="AY70" s="163"/>
      <c r="AZ70" s="163"/>
      <c r="BA70" s="164"/>
      <c r="BB70" s="167"/>
      <c r="BC70" s="163"/>
      <c r="BD70" s="163"/>
      <c r="BE70" s="163"/>
      <c r="BF70" s="164"/>
    </row>
  </sheetData>
  <mergeCells count="40">
    <mergeCell ref="BB3:BF3"/>
    <mergeCell ref="C3:C5"/>
    <mergeCell ref="D3:H5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AV32:AV48"/>
    <mergeCell ref="B37:C37"/>
    <mergeCell ref="B43:C43"/>
    <mergeCell ref="M44:M60"/>
    <mergeCell ref="R44:R60"/>
    <mergeCell ref="AL50:AL60"/>
    <mergeCell ref="AQ50:AQ66"/>
    <mergeCell ref="B13:C13"/>
    <mergeCell ref="B19:C19"/>
    <mergeCell ref="B25:C25"/>
    <mergeCell ref="B31:C31"/>
    <mergeCell ref="AQ32:AQ48"/>
    <mergeCell ref="AM68:AQ70"/>
    <mergeCell ref="AR68:AV70"/>
    <mergeCell ref="AV50:AV66"/>
    <mergeCell ref="B55:C55"/>
    <mergeCell ref="B61:C61"/>
    <mergeCell ref="M62:M70"/>
    <mergeCell ref="R62:R70"/>
    <mergeCell ref="W62:W70"/>
    <mergeCell ref="AB62:AB70"/>
    <mergeCell ref="AG62:AG70"/>
    <mergeCell ref="AL62:AL70"/>
    <mergeCell ref="B67:C67"/>
    <mergeCell ref="AB44:AB60"/>
    <mergeCell ref="AG44:AG60"/>
    <mergeCell ref="B49:C49"/>
    <mergeCell ref="W50:W60"/>
  </mergeCells>
  <conditionalFormatting sqref="B4:B12 B14:B18 B20:B24 B26:B30 B32:B36 B38:B42 B44:B48 B50:B54 B56:B60 B62:B66 B68:B70">
    <cfRule type="cellIs" dxfId="19" priority="8" operator="equal">
      <formula>"S"</formula>
    </cfRule>
  </conditionalFormatting>
  <conditionalFormatting sqref="B8:B12 B14:B18 B20:B24 B26:B30 B32:B36 B38:B42 B44:B48 B50:B54 B56:B60 B62:B66 B68:B70">
    <cfRule type="cellIs" dxfId="18" priority="5" operator="notEqual">
      <formula>"S"</formula>
    </cfRule>
  </conditionalFormatting>
  <conditionalFormatting sqref="K8:L12 P8:Q12 U8:V12 Z8:AA12 AE8:AF12 AJ8:AK12 AO8:AP12 AT8:AU12 AY8:AZ12 K14:L18 P14:Q18 U14:V18 Z14:AA18 AE14:AF18 AJ14:AK18 AO14:AP18 AT14:AU18 AY14:AZ18 K20:L24 P20:Q24 U20:V24 Z20:AA24 AE20:AF24 AJ20:AK24 AO20:AP24 AT20:AU24 AY20:AZ24 K26:L30 P26:Q30 U26:V30 Z26:AA30 AE26:AF30 AJ26:AK30 AO26:AP30 AT26:AU30 AY26:AZ30 K32:L36 P32:Q36 U32:V36 Z32:AA36 AE32:AF36 AJ32:AK36 AY32:AZ36 AO32:AP67 AT32:AU67 K38:L42 P38:Q42 U38:V42 Z38:AA42 AE38:AF42 AJ38:AK42 AY38:AZ42 U44:V48 AJ44:AK48 K44:L70 P44:Q70 Z44:AA70 AE44:AF70 AY44:AZ70 U50:V70 AJ50:AK70">
    <cfRule type="cellIs" dxfId="17" priority="7" operator="greaterThan">
      <formula>0</formula>
    </cfRule>
  </conditionalFormatting>
  <conditionalFormatting sqref="AO26:AP30 K8:L12 P8:Q12 U8:V12 Z8:AA12 AE8:AF12 AJ8:AK12 AO8:AP12 AT8:AU12 AY8:AZ12 K14:L18 P14:Q18 U14:V18 Z14:AA18 AE14:AF18 AJ14:AK18 AO14:AP18 AT14:AU18 AY14:AZ18 K20:L24 P20:Q24 U20:V24 Z20:AA24 AE20:AF24 AJ20:AK24 AO20:AP24 AT20:AU24 AY20:AZ24 K26:L30 P26:Q30 U26:V30 Z26:AA30 AE26:AF30 AJ26:AK30 AT26:AU30 AY26:AZ30 K32:L36 P32:Q36 U32:V36 Z32:AA36 AE32:AF36 AJ32:AK36 AY32:AZ36 AO32:AP67 AT32:AU67 K38:L42 P38:Q42 U38:V42 Z38:AA42 AE38:AF42 AJ38:AK42 AY38:AZ42 U44:V48 AJ44:AK48 K44:L70 P44:Q70 Z44:AA70 AE44:AF70 AY44:AZ70 U50:V70 AJ50:AK70">
    <cfRule type="cellIs" dxfId="16" priority="6" operator="greaterThan">
      <formula>0</formula>
    </cfRule>
  </conditionalFormatting>
  <conditionalFormatting sqref="AO30:AP30">
    <cfRule type="cellIs" dxfId="15" priority="3" operator="greaterThan">
      <formula>0</formula>
    </cfRule>
    <cfRule type="cellIs" dxfId="14" priority="4" operator="greaterThan">
      <formula>0</formula>
    </cfRule>
  </conditionalFormatting>
  <conditionalFormatting sqref="BD8:BE12 BD14:BE18 BD20:BE24 BD26:BE30 BD32:BE36 BD38:BE42 BD44:BE70">
    <cfRule type="cellIs" dxfId="13" priority="1" operator="greater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C9DC-6DD5-4CD3-826F-9473651A202E}">
  <sheetPr>
    <pageSetUpPr fitToPage="1"/>
  </sheetPr>
  <dimension ref="B1:BF71"/>
  <sheetViews>
    <sheetView showGridLines="0" zoomScale="90" zoomScaleNormal="90" workbookViewId="0">
      <pane xSplit="3" ySplit="8" topLeftCell="H9" activePane="bottomRight" state="frozen"/>
      <selection pane="topRight" activeCell="D1" sqref="D1"/>
      <selection pane="bottomLeft" activeCell="A8" sqref="A8"/>
      <selection pane="bottomRight" activeCell="V9" sqref="V9:V12"/>
    </sheetView>
  </sheetViews>
  <sheetFormatPr defaultRowHeight="15" x14ac:dyDescent="0.25"/>
  <cols>
    <col min="1" max="1" width="1.5703125" customWidth="1"/>
    <col min="2" max="2" width="2" bestFit="1" customWidth="1"/>
    <col min="3" max="3" width="11" bestFit="1" customWidth="1"/>
    <col min="4" max="6" width="6.28515625" customWidth="1"/>
    <col min="7" max="7" width="7.85546875" customWidth="1"/>
    <col min="8" max="8" width="11" customWidth="1"/>
    <col min="9" max="17" width="6.140625" customWidth="1"/>
    <col min="18" max="18" width="6.7109375" customWidth="1"/>
    <col min="19" max="58" width="6.140625" customWidth="1"/>
  </cols>
  <sheetData>
    <row r="1" spans="2:58" ht="15.75" thickBot="1" x14ac:dyDescent="0.3"/>
    <row r="2" spans="2:58" x14ac:dyDescent="0.25">
      <c r="B2" s="259"/>
      <c r="C2" s="260"/>
      <c r="D2" s="277" t="s">
        <v>0</v>
      </c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8"/>
      <c r="BF2" s="279"/>
    </row>
    <row r="3" spans="2:58" ht="15.75" thickBot="1" x14ac:dyDescent="0.3">
      <c r="B3" s="261"/>
      <c r="C3" s="262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1"/>
      <c r="AP3" s="281"/>
      <c r="AQ3" s="281"/>
      <c r="AR3" s="281"/>
      <c r="AS3" s="281"/>
      <c r="AT3" s="281"/>
      <c r="AU3" s="281"/>
      <c r="AV3" s="281"/>
      <c r="AW3" s="281"/>
      <c r="AX3" s="281"/>
      <c r="AY3" s="281"/>
      <c r="AZ3" s="281"/>
      <c r="BA3" s="281"/>
      <c r="BB3" s="281"/>
      <c r="BC3" s="281"/>
      <c r="BD3" s="281"/>
      <c r="BE3" s="281"/>
      <c r="BF3" s="282"/>
    </row>
    <row r="4" spans="2:58" ht="22.9" customHeight="1" thickBot="1" x14ac:dyDescent="0.3">
      <c r="B4" s="283" t="s">
        <v>1</v>
      </c>
      <c r="C4" s="284"/>
      <c r="D4" s="284"/>
      <c r="E4" s="284"/>
      <c r="F4" s="284"/>
      <c r="G4" s="284"/>
      <c r="H4" s="284"/>
      <c r="I4" s="291" t="s">
        <v>2</v>
      </c>
      <c r="J4" s="292"/>
      <c r="K4" s="292"/>
      <c r="L4" s="292"/>
      <c r="M4" s="293"/>
      <c r="N4" s="291" t="s">
        <v>3</v>
      </c>
      <c r="O4" s="292"/>
      <c r="P4" s="292"/>
      <c r="Q4" s="292"/>
      <c r="R4" s="293"/>
      <c r="S4" s="291" t="s">
        <v>4</v>
      </c>
      <c r="T4" s="292"/>
      <c r="U4" s="292"/>
      <c r="V4" s="292"/>
      <c r="W4" s="293"/>
      <c r="X4" s="291" t="s">
        <v>5</v>
      </c>
      <c r="Y4" s="292"/>
      <c r="Z4" s="292"/>
      <c r="AA4" s="292"/>
      <c r="AB4" s="293"/>
      <c r="AC4" s="291" t="s">
        <v>6</v>
      </c>
      <c r="AD4" s="292"/>
      <c r="AE4" s="292"/>
      <c r="AF4" s="292"/>
      <c r="AG4" s="293"/>
      <c r="AH4" s="291" t="s">
        <v>7</v>
      </c>
      <c r="AI4" s="292"/>
      <c r="AJ4" s="292"/>
      <c r="AK4" s="292"/>
      <c r="AL4" s="293"/>
      <c r="AM4" s="291" t="s">
        <v>8</v>
      </c>
      <c r="AN4" s="292"/>
      <c r="AO4" s="292"/>
      <c r="AP4" s="292"/>
      <c r="AQ4" s="293"/>
      <c r="AR4" s="291" t="s">
        <v>9</v>
      </c>
      <c r="AS4" s="292"/>
      <c r="AT4" s="292"/>
      <c r="AU4" s="292"/>
      <c r="AV4" s="293"/>
      <c r="AW4" s="291" t="s">
        <v>10</v>
      </c>
      <c r="AX4" s="292"/>
      <c r="AY4" s="292"/>
      <c r="AZ4" s="292"/>
      <c r="BA4" s="293"/>
      <c r="BB4" s="291" t="s">
        <v>11</v>
      </c>
      <c r="BC4" s="292"/>
      <c r="BD4" s="292"/>
      <c r="BE4" s="292"/>
      <c r="BF4" s="293"/>
    </row>
    <row r="5" spans="2:58" ht="43.5" customHeight="1" x14ac:dyDescent="0.25">
      <c r="B5" s="285"/>
      <c r="C5" s="286"/>
      <c r="D5" s="286"/>
      <c r="E5" s="286"/>
      <c r="F5" s="286"/>
      <c r="G5" s="286"/>
      <c r="H5" s="287"/>
      <c r="I5" s="263" t="s">
        <v>12</v>
      </c>
      <c r="J5" s="239" t="s">
        <v>13</v>
      </c>
      <c r="K5" s="239" t="s">
        <v>14</v>
      </c>
      <c r="L5" s="239" t="s">
        <v>15</v>
      </c>
      <c r="M5" s="240" t="s">
        <v>16</v>
      </c>
      <c r="N5" s="238" t="s">
        <v>12</v>
      </c>
      <c r="O5" s="239" t="s">
        <v>13</v>
      </c>
      <c r="P5" s="239" t="s">
        <v>14</v>
      </c>
      <c r="Q5" s="239" t="s">
        <v>15</v>
      </c>
      <c r="R5" s="240" t="s">
        <v>16</v>
      </c>
      <c r="S5" s="238" t="s">
        <v>12</v>
      </c>
      <c r="T5" s="239" t="s">
        <v>13</v>
      </c>
      <c r="U5" s="239" t="s">
        <v>14</v>
      </c>
      <c r="V5" s="239" t="s">
        <v>15</v>
      </c>
      <c r="W5" s="240" t="s">
        <v>16</v>
      </c>
      <c r="X5" s="238" t="s">
        <v>12</v>
      </c>
      <c r="Y5" s="239" t="s">
        <v>13</v>
      </c>
      <c r="Z5" s="239" t="s">
        <v>14</v>
      </c>
      <c r="AA5" s="239" t="s">
        <v>15</v>
      </c>
      <c r="AB5" s="240" t="s">
        <v>16</v>
      </c>
      <c r="AC5" s="238" t="s">
        <v>12</v>
      </c>
      <c r="AD5" s="239" t="s">
        <v>13</v>
      </c>
      <c r="AE5" s="239" t="s">
        <v>14</v>
      </c>
      <c r="AF5" s="239" t="s">
        <v>15</v>
      </c>
      <c r="AG5" s="240" t="s">
        <v>16</v>
      </c>
      <c r="AH5" s="238" t="s">
        <v>12</v>
      </c>
      <c r="AI5" s="239" t="s">
        <v>13</v>
      </c>
      <c r="AJ5" s="239" t="s">
        <v>14</v>
      </c>
      <c r="AK5" s="239" t="s">
        <v>15</v>
      </c>
      <c r="AL5" s="240" t="s">
        <v>16</v>
      </c>
      <c r="AM5" s="238" t="s">
        <v>12</v>
      </c>
      <c r="AN5" s="239" t="s">
        <v>13</v>
      </c>
      <c r="AO5" s="239" t="s">
        <v>14</v>
      </c>
      <c r="AP5" s="239" t="s">
        <v>15</v>
      </c>
      <c r="AQ5" s="240" t="s">
        <v>16</v>
      </c>
      <c r="AR5" s="238" t="s">
        <v>12</v>
      </c>
      <c r="AS5" s="239" t="s">
        <v>13</v>
      </c>
      <c r="AT5" s="239" t="s">
        <v>14</v>
      </c>
      <c r="AU5" s="239" t="s">
        <v>15</v>
      </c>
      <c r="AV5" s="240" t="s">
        <v>16</v>
      </c>
      <c r="AW5" s="238" t="s">
        <v>12</v>
      </c>
      <c r="AX5" s="239" t="s">
        <v>13</v>
      </c>
      <c r="AY5" s="239" t="s">
        <v>14</v>
      </c>
      <c r="AZ5" s="239" t="s">
        <v>15</v>
      </c>
      <c r="BA5" s="240" t="s">
        <v>16</v>
      </c>
      <c r="BB5" s="238" t="s">
        <v>12</v>
      </c>
      <c r="BC5" s="239" t="s">
        <v>13</v>
      </c>
      <c r="BD5" s="239" t="s">
        <v>14</v>
      </c>
      <c r="BE5" s="239" t="s">
        <v>15</v>
      </c>
      <c r="BF5" s="240" t="s">
        <v>16</v>
      </c>
    </row>
    <row r="6" spans="2:58" ht="15.75" thickBot="1" x14ac:dyDescent="0.3">
      <c r="B6" s="288"/>
      <c r="C6" s="289"/>
      <c r="D6" s="289"/>
      <c r="E6" s="289"/>
      <c r="F6" s="289"/>
      <c r="G6" s="289"/>
      <c r="H6" s="290"/>
      <c r="I6" s="264">
        <f ca="1">SUMIF($C$9:$C$71,"&lt;"&amp;"="&amp;TODAY(),I9:I71)</f>
        <v>660</v>
      </c>
      <c r="J6" s="257">
        <f t="shared" ref="J6:L6" ca="1" si="0">SUMIF($C$9:$C$71,"&lt;"&amp;"="&amp;TODAY(),J9:J71)</f>
        <v>660</v>
      </c>
      <c r="K6" s="257">
        <f t="shared" ca="1" si="0"/>
        <v>36</v>
      </c>
      <c r="L6" s="257">
        <f t="shared" ca="1" si="0"/>
        <v>34</v>
      </c>
      <c r="M6" s="258">
        <f ca="1">J6/I6</f>
        <v>1</v>
      </c>
      <c r="N6" s="257">
        <f ca="1">SUMIF($C$9:$C$71,"&lt;"&amp;"="&amp;TODAY(),N9:N71)</f>
        <v>1296</v>
      </c>
      <c r="O6" s="257">
        <f t="shared" ref="O6:Q6" ca="1" si="1">SUMIF($C$9:$C$71,"&lt;"&amp;"="&amp;TODAY(),O9:O71)</f>
        <v>1295</v>
      </c>
      <c r="P6" s="257">
        <f t="shared" ca="1" si="1"/>
        <v>18</v>
      </c>
      <c r="Q6" s="257">
        <f t="shared" ca="1" si="1"/>
        <v>18</v>
      </c>
      <c r="R6" s="258">
        <f ca="1">O6/N6</f>
        <v>0.99922839506172845</v>
      </c>
      <c r="S6" s="257">
        <f ca="1">SUMIF($C$9:$C$71,"&lt;"&amp;"="&amp;TODAY(),S9:S71)</f>
        <v>131</v>
      </c>
      <c r="T6" s="257">
        <f t="shared" ref="T6:V6" ca="1" si="2">SUMIF($C$9:$C$71,"&lt;"&amp;"="&amp;TODAY(),T9:T71)</f>
        <v>131</v>
      </c>
      <c r="U6" s="257">
        <f t="shared" ca="1" si="2"/>
        <v>6</v>
      </c>
      <c r="V6" s="257">
        <f t="shared" ca="1" si="2"/>
        <v>6</v>
      </c>
      <c r="W6" s="258">
        <f ca="1">T6/S6</f>
        <v>1</v>
      </c>
      <c r="X6" s="257">
        <f ca="1">SUMIF($C$9:$C$71,"&lt;"&amp;"="&amp;TODAY(),X9:X71)</f>
        <v>348</v>
      </c>
      <c r="Y6" s="257">
        <f t="shared" ref="Y6:AA6" ca="1" si="3">SUMIF($C$9:$C$71,"&lt;"&amp;"="&amp;TODAY(),Y9:Y71)</f>
        <v>348</v>
      </c>
      <c r="Z6" s="257">
        <f t="shared" ca="1" si="3"/>
        <v>12</v>
      </c>
      <c r="AA6" s="257">
        <f t="shared" ca="1" si="3"/>
        <v>13</v>
      </c>
      <c r="AB6" s="258">
        <f ca="1">Y6/X6</f>
        <v>1</v>
      </c>
      <c r="AC6" s="257">
        <f ca="1">SUMIF($C$9:$C$71,"&lt;"&amp;"="&amp;TODAY(),AC9:AC71)</f>
        <v>348</v>
      </c>
      <c r="AD6" s="257">
        <f t="shared" ref="AD6:AF6" ca="1" si="4">SUMIF($C$9:$C$71,"&lt;"&amp;"="&amp;TODAY(),AD9:AD71)</f>
        <v>348</v>
      </c>
      <c r="AE6" s="257">
        <f t="shared" ca="1" si="4"/>
        <v>8</v>
      </c>
      <c r="AF6" s="257">
        <f t="shared" ca="1" si="4"/>
        <v>8</v>
      </c>
      <c r="AG6" s="258">
        <f ca="1">AD6/AC6</f>
        <v>1</v>
      </c>
      <c r="AH6" s="257">
        <f ca="1">SUMIF($C$9:$C$71,"&lt;"&amp;"="&amp;TODAY(),AH9:AH71)</f>
        <v>35</v>
      </c>
      <c r="AI6" s="257">
        <f t="shared" ref="AI6:AK6" ca="1" si="5">SUMIF($C$9:$C$71,"&lt;"&amp;"="&amp;TODAY(),AI9:AI71)</f>
        <v>35</v>
      </c>
      <c r="AJ6" s="257">
        <f t="shared" ca="1" si="5"/>
        <v>11</v>
      </c>
      <c r="AK6" s="257">
        <f t="shared" ca="1" si="5"/>
        <v>13</v>
      </c>
      <c r="AL6" s="258">
        <f ca="1">AI6/AH6</f>
        <v>1</v>
      </c>
      <c r="AM6" s="274">
        <f ca="1">SUMIF($C$9:$C$71,"&lt;"&amp;"="&amp;TODAY(),AM9:AM71)</f>
        <v>28</v>
      </c>
      <c r="AN6" s="257">
        <f t="shared" ref="AN6:AP6" ca="1" si="6">SUMIF($C$9:$C$71,"&lt;"&amp;"="&amp;TODAY(),AN9:AN71)</f>
        <v>28</v>
      </c>
      <c r="AO6" s="257">
        <f t="shared" ca="1" si="6"/>
        <v>2</v>
      </c>
      <c r="AP6" s="257">
        <f t="shared" ca="1" si="6"/>
        <v>2</v>
      </c>
      <c r="AQ6" s="258">
        <f ca="1">AN6/AM6</f>
        <v>1</v>
      </c>
      <c r="AR6" s="274">
        <f ca="1">SUMIF($C$9:$C$71,"&lt;"&amp;"="&amp;TODAY(),AR9:AR71)</f>
        <v>11</v>
      </c>
      <c r="AS6" s="257">
        <f t="shared" ref="AS6:AU6" ca="1" si="7">SUMIF($C$9:$C$71,"&lt;"&amp;"="&amp;TODAY(),AS9:AS71)</f>
        <v>12</v>
      </c>
      <c r="AT6" s="257">
        <f t="shared" ca="1" si="7"/>
        <v>5</v>
      </c>
      <c r="AU6" s="257">
        <f t="shared" ca="1" si="7"/>
        <v>4</v>
      </c>
      <c r="AV6" s="258">
        <f ca="1">AS6/AR6</f>
        <v>1.0909090909090908</v>
      </c>
      <c r="AW6" s="274">
        <f ca="1">SUMIF($C$9:$C$71,"&lt;"&amp;"="&amp;TODAY(),AW9:AW71)</f>
        <v>88</v>
      </c>
      <c r="AX6" s="257">
        <f t="shared" ref="AX6:AZ6" ca="1" si="8">SUMIF($C$9:$C$71,"&lt;"&amp;"="&amp;TODAY(),AX9:AX71)</f>
        <v>88</v>
      </c>
      <c r="AY6" s="257">
        <f t="shared" ca="1" si="8"/>
        <v>2</v>
      </c>
      <c r="AZ6" s="257">
        <f t="shared" ca="1" si="8"/>
        <v>2</v>
      </c>
      <c r="BA6" s="258">
        <f ca="1">AX6/AW6</f>
        <v>1</v>
      </c>
      <c r="BB6" s="274">
        <f ca="1">SUMIF($C$9:$C$71,"&lt;"&amp;"="&amp;TODAY(),BB9:BB71)</f>
        <v>19</v>
      </c>
      <c r="BC6" s="257">
        <f ca="1">SUMIF($C$9:$C$71,"&lt;"&amp;"="&amp;TODAY(),BC9:BC71)</f>
        <v>19</v>
      </c>
      <c r="BD6" s="257">
        <f ca="1">SUMIF($C$9:$C$71,"&lt;"&amp;"="&amp;TODAY(),BD9:BD71)</f>
        <v>19</v>
      </c>
      <c r="BE6" s="257">
        <f ca="1">SUMIF($C$9:$C$71,"&lt;"&amp;"="&amp;TODAY(),BE9:BE71)</f>
        <v>19</v>
      </c>
      <c r="BF6" s="258">
        <f ca="1">BC6/BB6</f>
        <v>1</v>
      </c>
    </row>
    <row r="7" spans="2:58" ht="30" customHeight="1" thickBot="1" x14ac:dyDescent="0.3">
      <c r="B7" s="294" t="s">
        <v>17</v>
      </c>
      <c r="C7" s="295"/>
      <c r="D7" s="237" t="s">
        <v>18</v>
      </c>
      <c r="E7" s="234" t="s">
        <v>19</v>
      </c>
      <c r="F7" s="234" t="s">
        <v>20</v>
      </c>
      <c r="G7" s="234" t="s">
        <v>21</v>
      </c>
      <c r="H7" s="234" t="s">
        <v>22</v>
      </c>
      <c r="I7" s="233" t="s">
        <v>19</v>
      </c>
      <c r="J7" s="234" t="s">
        <v>20</v>
      </c>
      <c r="K7" s="234" t="s">
        <v>21</v>
      </c>
      <c r="L7" s="234" t="s">
        <v>22</v>
      </c>
      <c r="M7" s="235" t="s">
        <v>23</v>
      </c>
      <c r="N7" s="233" t="s">
        <v>19</v>
      </c>
      <c r="O7" s="234" t="s">
        <v>20</v>
      </c>
      <c r="P7" s="234" t="s">
        <v>21</v>
      </c>
      <c r="Q7" s="234" t="s">
        <v>22</v>
      </c>
      <c r="R7" s="235" t="s">
        <v>23</v>
      </c>
      <c r="S7" s="233" t="s">
        <v>19</v>
      </c>
      <c r="T7" s="234" t="s">
        <v>20</v>
      </c>
      <c r="U7" s="234" t="s">
        <v>21</v>
      </c>
      <c r="V7" s="234" t="s">
        <v>22</v>
      </c>
      <c r="W7" s="236" t="s">
        <v>23</v>
      </c>
      <c r="X7" s="233" t="s">
        <v>19</v>
      </c>
      <c r="Y7" s="234" t="s">
        <v>20</v>
      </c>
      <c r="Z7" s="234" t="s">
        <v>21</v>
      </c>
      <c r="AA7" s="234" t="s">
        <v>22</v>
      </c>
      <c r="AB7" s="235" t="s">
        <v>23</v>
      </c>
      <c r="AC7" s="233" t="s">
        <v>19</v>
      </c>
      <c r="AD7" s="234" t="s">
        <v>20</v>
      </c>
      <c r="AE7" s="234" t="s">
        <v>21</v>
      </c>
      <c r="AF7" s="234" t="s">
        <v>22</v>
      </c>
      <c r="AG7" s="235" t="s">
        <v>23</v>
      </c>
      <c r="AH7" s="233" t="s">
        <v>19</v>
      </c>
      <c r="AI7" s="234" t="s">
        <v>20</v>
      </c>
      <c r="AJ7" s="234" t="s">
        <v>21</v>
      </c>
      <c r="AK7" s="234" t="s">
        <v>22</v>
      </c>
      <c r="AL7" s="235" t="s">
        <v>23</v>
      </c>
      <c r="AM7" s="233" t="s">
        <v>19</v>
      </c>
      <c r="AN7" s="234" t="s">
        <v>20</v>
      </c>
      <c r="AO7" s="234" t="s">
        <v>21</v>
      </c>
      <c r="AP7" s="234" t="s">
        <v>22</v>
      </c>
      <c r="AQ7" s="235" t="s">
        <v>23</v>
      </c>
      <c r="AR7" s="233" t="s">
        <v>19</v>
      </c>
      <c r="AS7" s="234" t="s">
        <v>20</v>
      </c>
      <c r="AT7" s="234" t="s">
        <v>21</v>
      </c>
      <c r="AU7" s="234" t="s">
        <v>22</v>
      </c>
      <c r="AV7" s="235" t="s">
        <v>23</v>
      </c>
      <c r="AW7" s="233" t="s">
        <v>19</v>
      </c>
      <c r="AX7" s="234" t="s">
        <v>20</v>
      </c>
      <c r="AY7" s="234" t="s">
        <v>21</v>
      </c>
      <c r="AZ7" s="234" t="s">
        <v>22</v>
      </c>
      <c r="BA7" s="235" t="s">
        <v>23</v>
      </c>
      <c r="BB7" s="233" t="s">
        <v>19</v>
      </c>
      <c r="BC7" s="234" t="s">
        <v>20</v>
      </c>
      <c r="BD7" s="234" t="s">
        <v>21</v>
      </c>
      <c r="BE7" s="234" t="s">
        <v>22</v>
      </c>
      <c r="BF7" s="235" t="s">
        <v>23</v>
      </c>
    </row>
    <row r="8" spans="2:58" s="253" customFormat="1" ht="21" customHeight="1" x14ac:dyDescent="0.25">
      <c r="B8" s="296" t="s">
        <v>24</v>
      </c>
      <c r="C8" s="297"/>
      <c r="D8" s="250">
        <f>IF(E8=0,0,F8/E8)</f>
        <v>1</v>
      </c>
      <c r="E8" s="249">
        <f>SUM(I8,N8,S8,X8,AC8,AH8,AM8,AR8,AW8)</f>
        <v>2945</v>
      </c>
      <c r="F8" s="249">
        <f>SUM(J8,O8,T8,Y8,AD8,AI8,AN8,AS8,AX8)</f>
        <v>2945</v>
      </c>
      <c r="G8" s="249">
        <f>SUM(K8,P8,U8,Z8,AE8,AJ8,AO8,AT8,AY8)</f>
        <v>100</v>
      </c>
      <c r="H8" s="249">
        <f>SUM(L8,Q8,V8,AA8,AF8,AK8,AP8,AU8,BA8)</f>
        <v>99</v>
      </c>
      <c r="I8" s="251">
        <f>SUM(I9:I13,I15:I19,I21:I25,I27:I31,I33:I37,I39:I43,I45:I49,I51:I55,I57:I61,I63:I67,I69:I71)</f>
        <v>660</v>
      </c>
      <c r="J8" s="249">
        <f>SUM(J9:J13,J15:J19,J21:J25,J27:J31,J33:J37,J39:J43,J45:J49,J51:J55,J57:J61,J63:J67,J69:J71)</f>
        <v>660</v>
      </c>
      <c r="K8" s="249">
        <f>SUM(K9:K13,K15:K19,K21:K25,K27:K31,K33:K37,K39:K43,K45:K49,K51:K55,K57:K61,K63:K67,K69:K71)</f>
        <v>36</v>
      </c>
      <c r="L8" s="249">
        <f>SUM(L9:L13,L15:L19,L21:L25,L27:L31,L33:L37,L39:L43,L45:L49,L51:L55,L57:L61,L63:L67,L69:L71)</f>
        <v>34</v>
      </c>
      <c r="M8" s="252">
        <f>J8/I8</f>
        <v>1</v>
      </c>
      <c r="N8" s="251">
        <f>SUM(N9:N13,N15:N19,N21:N25,N27:N31,N33:N37,N39:N43,N45:N49,N51:N55,N57:N61,N63:N67,N69:N71)</f>
        <v>1296</v>
      </c>
      <c r="O8" s="249">
        <f>SUM(O9:O13,O15:O19,O21:O25,O27:O31,O33:O37,O39:O43,O45:O49,O51:O55,O57:O61,O63:O67,O69:O71)</f>
        <v>1295</v>
      </c>
      <c r="P8" s="249">
        <f>SUM(P9:P13,P15:P19,P21:P25,P27:P31,P33:P37,P39:P43,P45:P49,P51:P55,P57:P61,P63:P67,P69:P71)</f>
        <v>18</v>
      </c>
      <c r="Q8" s="249">
        <f>SUM(Q9:Q13,Q15:Q19,Q21:Q25,Q27:Q31,Q33:Q37,Q39:Q43,Q45:Q49,Q51:Q55,Q57:Q61,Q63:Q67,Q69:Q71)</f>
        <v>18</v>
      </c>
      <c r="R8" s="252">
        <f>O8/N8</f>
        <v>0.99922839506172845</v>
      </c>
      <c r="S8" s="251">
        <f>SUM(S9:S13,S15:S19,S21:S25,S27:S31,S33:S37,S39:S43,S45:S49,S51:S55,S57:S61,S63:S67,S69:S71)</f>
        <v>131</v>
      </c>
      <c r="T8" s="249">
        <f>SUM(T9:T13,T15:T19,T21:T25,T27:T31,T33:T37,T39:T43,T45:T49,T51:T55,T57:T61,T63:T67,T69:T71)</f>
        <v>131</v>
      </c>
      <c r="U8" s="249">
        <f>SUM(U9:U13,U15:U19,U21:U25,U27:U31,U33:U37,U39:U43,U45:U49,U51:U55,U57:U61,U63:U67,U69:U71)</f>
        <v>6</v>
      </c>
      <c r="V8" s="249">
        <f>SUM(V9:V13,V15:V19,V21:V25,V27:V31,V33:V37,V39:V43,V45:V49,V51:V55,V57:V61,V63:V67,V69:V71)</f>
        <v>6</v>
      </c>
      <c r="W8" s="252">
        <f>T8/S8</f>
        <v>1</v>
      </c>
      <c r="X8" s="251">
        <f>SUM(X9:X13,X15:X19,X21:X25,X27:X31,X33:X37,X39:X43,X45:X49,X51:X55,X57:X61,X63:X67,X69:X71)</f>
        <v>348</v>
      </c>
      <c r="Y8" s="254">
        <f>SUM(Y9:Y13,Y15:Y19,Y21:Y25,Y27:Y31,Y33:Y37,Y39:Y43,Y45:Y49,Y51:Y55,Y57:Y61,Y63:Y67,Y69:Y71)</f>
        <v>348</v>
      </c>
      <c r="Z8" s="254">
        <f>SUM(Z9:Z13,Z15:Z19,Z21:Z25,Z27:Z31,Z33:Z37,Z39:Z43,Z45:Z49,Z51:Z55,Z57:Z61,Z63:Z67,Z69:Z71)</f>
        <v>12</v>
      </c>
      <c r="AA8" s="254">
        <f>SUM(AA9:AA13,AA15:AA19,AA21:AA25,AA27:AA31,AA33:AA37,AA39:AA43,AA45:AA49,AA51:AA55,AA57:AA61,AA63:AA67,AA69:AA71)</f>
        <v>13</v>
      </c>
      <c r="AB8" s="255">
        <f>Y8/X8</f>
        <v>1</v>
      </c>
      <c r="AC8" s="256">
        <f>SUM(AC9:AC13,AC15:AC19,AC21:AC25,AC27:AC31,AC33:AC37,AC39:AC43,AC45:AC49,AC51:AC55,AC57:AC61,AC63:AC67,AC69:AC71)</f>
        <v>348</v>
      </c>
      <c r="AD8" s="254">
        <f>SUM(AD9:AD13,AD15:AD19,AD21:AD25,AD27:AD31,AD33:AD37,AD39:AD43,AD45:AD49,AD51:AD55,AD57:AD61,AD63:AD67,AD69:AD71)</f>
        <v>348</v>
      </c>
      <c r="AE8" s="254">
        <f>SUM(AE9:AE13,AE15:AE19,AE21:AE25,AE27:AE31,AE33:AE37,AE39:AE43,AE45:AE49,AE51:AE55,AE57:AE61,AE63:AE67,AE69:AE71)</f>
        <v>8</v>
      </c>
      <c r="AF8" s="254">
        <f>SUM(AF9:AF13,AF15:AF19,AF21:AF25,AF27:AF31,AF33:AF37,AF39:AF43,AF45:AF49,AF51:AF55,AF57:AF61,AF63:AF67,AF69:AF71)</f>
        <v>8</v>
      </c>
      <c r="AG8" s="255">
        <f>AD8/AC8</f>
        <v>1</v>
      </c>
      <c r="AH8" s="256">
        <f>SUM(AH9:AH13,AH15:AH19,AH21:AH25,AH27:AH31,AH33:AH37,AH39:AH43,AH45:AH49,AH51:AH55,AH57:AH61,AH63:AH67,AH69:AH71)</f>
        <v>35</v>
      </c>
      <c r="AI8" s="254">
        <f>SUM(AI9:AI13,AI15:AI19,AI21:AI25,AI27:AI31,AI33:AI37,AI39:AI43,AI45:AI49,AI51:AI55,AI57:AI61,AI63:AI67,AI69:AI71)</f>
        <v>35</v>
      </c>
      <c r="AJ8" s="254">
        <f>SUM(AJ9:AJ13,AJ15:AJ19,AJ21:AJ25,AJ27:AJ31,AJ33:AJ37,AJ39:AJ43,AJ45:AJ49,AJ51:AJ55,AJ57:AJ61,AJ63:AJ67,AJ69:AJ71)</f>
        <v>11</v>
      </c>
      <c r="AK8" s="254">
        <f>SUM(AK9:AK13,AK15:AK19,AK21:AK25,AK27:AK31,AK33:AK37,AK39:AK43,AK45:AK49,AK51:AK55,AK57:AK61,AK63:AK67,AK69:AK71)</f>
        <v>13</v>
      </c>
      <c r="AL8" s="255">
        <f>AI8/AH8</f>
        <v>1</v>
      </c>
      <c r="AM8" s="256">
        <f>SUM(AM9:AM13,AM15:AM19,AM21:AM25,AM27:AM31,AM33:AM37,AM39:AM43,AM45:AM49,AM51:AM55,AM57:AM61,AM63:AM67,AM69:AM71)</f>
        <v>28</v>
      </c>
      <c r="AN8" s="254">
        <f>SUM(AN9:AN13,AN15:AN19,AN21:AN25,AN27:AN31,AN33:AN37,AN39:AN43,AN45:AN49,AN51:AN55,AN57:AN61,AN63:AN67,AN69:AN71)</f>
        <v>28</v>
      </c>
      <c r="AO8" s="254">
        <f>SUM(AO9:AO13,AO15:AO19,AO21:AO25,AO27:AO31,AO33:AO37,AO39:AO43,AO45:AO49,AO51:AO55,AO57:AO61,AO63:AO67,AO69:AO71)</f>
        <v>2</v>
      </c>
      <c r="AP8" s="254">
        <f>SUM(AP9:AP13,AP15:AP19,AP21:AP25,AP27:AP31,AP33:AP37,AP39:AP43,AP45:AP49,AP51:AP55,AP57:AP61,AP63:AP67,AP69:AP71)</f>
        <v>2</v>
      </c>
      <c r="AQ8" s="255">
        <f>AN8/AM8</f>
        <v>1</v>
      </c>
      <c r="AR8" s="256">
        <f>SUM(AR9:AR13,AR15:AR19,AR21:AR25,AR27:AR31,AR33:AR37,AR39:AR43,AR45:AR49,AR51:AR55,AR57:AR61,AR63:AR67,AR69:AR71)</f>
        <v>11</v>
      </c>
      <c r="AS8" s="254">
        <f>SUM(AS9:AS13,AS15:AS19,AS21:AS25,AS27:AS31,AS33:AS37,AS39:AS43,AS45:AS49,AS51:AS55,AS57:AS61,AS63:AS67,AS69:AS71)</f>
        <v>12</v>
      </c>
      <c r="AT8" s="254">
        <f>SUM(AT9:AT13,AT15:AT19,AT21:AT25,AT27:AT31,AT33:AT37,AT39:AT43,AT45:AT49,AT51:AT55,AT57:AT61,AT63:AT67,AT69:AT71)</f>
        <v>5</v>
      </c>
      <c r="AU8" s="254">
        <f>SUM(AU9:AU13,AU15:AU19,AU21:AU25,AU27:AU31,AU33:AU37,AU39:AU43,AU45:AU49,AU51:AU55,AU57:AU61,AU63:AU67,AU69:AU71)</f>
        <v>4</v>
      </c>
      <c r="AV8" s="255">
        <f>AS8/AR8</f>
        <v>1.0909090909090908</v>
      </c>
      <c r="AW8" s="256">
        <f>SUM(AW9:AW13,AW15:AW19,AW21:AW25,AW27:AW31,AW33:AW37,AW39:AW43,AW45:AW49,AW51:AW55,AW57:AW61,AW63:AW67,AW69:AW71)</f>
        <v>88</v>
      </c>
      <c r="AX8" s="254">
        <f>SUM(AX9:AX13,AX15:AX19,AX21:AX25,AX27:AX31,AX33:AX37,AX39:AX43,AX45:AX49,AX51:AX55,AX57:AX61,AX63:AX67,AX69:AX71)</f>
        <v>88</v>
      </c>
      <c r="AY8" s="254">
        <f>SUM(AY9:AY13,AY15:AY19,AY21:AY25,AY27:AY31,AY33:AY37,AY39:AY43,AY45:AY49,AY51:AY55,AY57:AY61,AY63:AY67,AY69:AY71)</f>
        <v>2</v>
      </c>
      <c r="AZ8" s="254">
        <f>SUM(AZ9:AZ13,AZ15:AZ19,AZ21:AZ25,AZ27:AZ31,AZ33:AZ37,AZ39:AZ43,AZ45:AZ49,AZ51:AZ55,AZ57:AZ61,AZ63:AZ67,AZ69:AZ71)</f>
        <v>2</v>
      </c>
      <c r="BA8" s="255">
        <f>AX8/AW8</f>
        <v>1</v>
      </c>
      <c r="BB8" s="256">
        <f>SUM(BB9:BB13,BB15:BB19,BB21:BB25,BB27:BB31,BB33:BB37,BB39:BB43,BB45:BB49,BB51:BB55,BB57:BB61,BB63:BB67,BB69:BB71)</f>
        <v>19</v>
      </c>
      <c r="BC8" s="254">
        <f>SUM(BC9:BC13,BC15:BC19,BC21:BC25,BC27:BC31,BC33:BC37,BC39:BC43,BC45:BC49,BC51:BC55,BC57:BC61,BC63:BC67,BC69:BC71)</f>
        <v>19</v>
      </c>
      <c r="BD8" s="254">
        <f>SUM(BD9:BD13,BD15:BD19,BD21:BD25,BD27:BD31,BD33:BD37,BD39:BD43,BD45:BD49,BD51:BD55,BD57:BD61,BD63:BD67,BD69:BD71)</f>
        <v>19</v>
      </c>
      <c r="BE8" s="254">
        <f>SUM(BE9:BE13,BE15:BE19,BE21:BE25,BE27:BE31,BE33:BE37,BE39:BE43,BE45:BE49,BE51:BE55,BE57:BE61,BE63:BE67,BE69:BE71)</f>
        <v>19</v>
      </c>
      <c r="BF8" s="255">
        <f>BC8/BB8</f>
        <v>1</v>
      </c>
    </row>
    <row r="9" spans="2:58" x14ac:dyDescent="0.25">
      <c r="B9" s="232" t="s">
        <v>25</v>
      </c>
      <c r="C9" s="228">
        <v>45705</v>
      </c>
      <c r="D9" s="224">
        <f t="shared" ref="D9:D63" si="9">IF(E9=0,0,F9/E9)</f>
        <v>0.99029126213592233</v>
      </c>
      <c r="E9" s="157">
        <f t="shared" ref="E9:E63" si="10">SUM(I9,N9,S9,X9,AC9,AH9,AM9,AR9,AW9)</f>
        <v>51.5</v>
      </c>
      <c r="F9" s="157">
        <f t="shared" ref="F9:F63" si="11">SUM(J9,O9,T9,Y9,AD9,AI9,AN9,AS9,AX9)</f>
        <v>51</v>
      </c>
      <c r="G9" s="157">
        <f t="shared" ref="G9:G63" si="12">SUM(K9,P9,U9,Z9,AE9,AJ9,AO9,AT9,AY9)</f>
        <v>0</v>
      </c>
      <c r="H9" s="157">
        <f t="shared" ref="H9:H63" si="13">SUM(L9,Q9,V9,AA9,AF9,AK9,AP9,AU9,BA9)</f>
        <v>0</v>
      </c>
      <c r="I9" s="161">
        <v>13</v>
      </c>
      <c r="J9" s="158">
        <v>13</v>
      </c>
      <c r="K9" s="158"/>
      <c r="L9" s="158"/>
      <c r="M9" s="162"/>
      <c r="N9" s="161">
        <v>0</v>
      </c>
      <c r="O9" s="158"/>
      <c r="P9" s="158"/>
      <c r="Q9" s="158"/>
      <c r="R9" s="162"/>
      <c r="S9" s="161">
        <v>6</v>
      </c>
      <c r="T9" s="158">
        <v>6</v>
      </c>
      <c r="U9" s="158"/>
      <c r="V9" s="158"/>
      <c r="W9" s="162"/>
      <c r="X9" s="161">
        <v>0</v>
      </c>
      <c r="Y9" s="158"/>
      <c r="Z9" s="158"/>
      <c r="AA9" s="158"/>
      <c r="AB9" s="162"/>
      <c r="AC9" s="161">
        <v>21</v>
      </c>
      <c r="AD9" s="158">
        <v>21</v>
      </c>
      <c r="AE9" s="158"/>
      <c r="AF9" s="158"/>
      <c r="AG9" s="162"/>
      <c r="AH9" s="161">
        <v>0.5</v>
      </c>
      <c r="AI9" s="158">
        <v>1</v>
      </c>
      <c r="AJ9" s="158"/>
      <c r="AK9" s="158"/>
      <c r="AL9" s="162"/>
      <c r="AM9" s="161">
        <v>6</v>
      </c>
      <c r="AN9" s="158">
        <v>5</v>
      </c>
      <c r="AO9" s="158"/>
      <c r="AP9" s="158"/>
      <c r="AQ9" s="162"/>
      <c r="AR9" s="161">
        <v>1</v>
      </c>
      <c r="AS9" s="158">
        <v>1</v>
      </c>
      <c r="AT9" s="158"/>
      <c r="AU9" s="158"/>
      <c r="AV9" s="162"/>
      <c r="AW9" s="161">
        <v>4</v>
      </c>
      <c r="AX9" s="158">
        <v>4</v>
      </c>
      <c r="AY9" s="158"/>
      <c r="AZ9" s="158"/>
      <c r="BA9" s="162"/>
      <c r="BB9" s="161"/>
      <c r="BC9" s="158"/>
      <c r="BD9" s="158"/>
      <c r="BE9" s="158"/>
      <c r="BF9" s="162"/>
    </row>
    <row r="10" spans="2:58" x14ac:dyDescent="0.25">
      <c r="B10" s="232" t="s">
        <v>26</v>
      </c>
      <c r="C10" s="228">
        <f>C9+1</f>
        <v>45706</v>
      </c>
      <c r="D10" s="224">
        <f t="shared" si="9"/>
        <v>1.0566037735849056</v>
      </c>
      <c r="E10" s="157">
        <f t="shared" si="10"/>
        <v>26.5</v>
      </c>
      <c r="F10" s="157">
        <f t="shared" si="11"/>
        <v>28</v>
      </c>
      <c r="G10" s="157">
        <f t="shared" si="12"/>
        <v>0</v>
      </c>
      <c r="H10" s="157">
        <f t="shared" si="13"/>
        <v>0</v>
      </c>
      <c r="I10" s="161">
        <v>0</v>
      </c>
      <c r="J10" s="158">
        <v>0</v>
      </c>
      <c r="K10" s="158"/>
      <c r="L10" s="158"/>
      <c r="M10" s="162"/>
      <c r="N10" s="161">
        <v>0</v>
      </c>
      <c r="O10" s="158"/>
      <c r="P10" s="158"/>
      <c r="Q10" s="158"/>
      <c r="R10" s="162"/>
      <c r="S10" s="161">
        <v>6</v>
      </c>
      <c r="T10" s="158">
        <v>6</v>
      </c>
      <c r="U10" s="158"/>
      <c r="V10" s="158"/>
      <c r="W10" s="166"/>
      <c r="X10" s="161">
        <v>0</v>
      </c>
      <c r="Y10" s="158"/>
      <c r="Z10" s="158"/>
      <c r="AA10" s="158"/>
      <c r="AB10" s="162"/>
      <c r="AC10" s="161">
        <v>15</v>
      </c>
      <c r="AD10" s="158">
        <v>15</v>
      </c>
      <c r="AE10" s="158"/>
      <c r="AF10" s="158"/>
      <c r="AG10" s="162"/>
      <c r="AH10" s="161">
        <v>0.5</v>
      </c>
      <c r="AI10" s="158">
        <v>1</v>
      </c>
      <c r="AJ10" s="158"/>
      <c r="AK10" s="158"/>
      <c r="AL10" s="162"/>
      <c r="AM10" s="161">
        <v>0</v>
      </c>
      <c r="AN10" s="158">
        <v>1</v>
      </c>
      <c r="AO10" s="158"/>
      <c r="AP10" s="158"/>
      <c r="AQ10" s="162"/>
      <c r="AR10" s="161">
        <v>1</v>
      </c>
      <c r="AS10" s="158">
        <v>1</v>
      </c>
      <c r="AT10" s="158"/>
      <c r="AU10" s="158"/>
      <c r="AV10" s="162"/>
      <c r="AW10" s="161">
        <v>4</v>
      </c>
      <c r="AX10" s="158">
        <v>4</v>
      </c>
      <c r="AY10" s="158"/>
      <c r="AZ10" s="158"/>
      <c r="BA10" s="162"/>
      <c r="BB10" s="161"/>
      <c r="BC10" s="158"/>
      <c r="BD10" s="158"/>
      <c r="BE10" s="158"/>
      <c r="BF10" s="162"/>
    </row>
    <row r="11" spans="2:58" x14ac:dyDescent="0.25">
      <c r="B11" s="232" t="s">
        <v>27</v>
      </c>
      <c r="C11" s="228">
        <f>C10+1</f>
        <v>45707</v>
      </c>
      <c r="D11" s="224">
        <f t="shared" si="9"/>
        <v>2.0317460317460316</v>
      </c>
      <c r="E11" s="157">
        <f t="shared" si="10"/>
        <v>31.5</v>
      </c>
      <c r="F11" s="157">
        <f t="shared" si="11"/>
        <v>64</v>
      </c>
      <c r="G11" s="157">
        <f t="shared" si="12"/>
        <v>0</v>
      </c>
      <c r="H11" s="157">
        <f t="shared" si="13"/>
        <v>0</v>
      </c>
      <c r="I11" s="161">
        <v>12</v>
      </c>
      <c r="J11" s="158">
        <v>12</v>
      </c>
      <c r="K11" s="158"/>
      <c r="L11" s="158"/>
      <c r="M11" s="162"/>
      <c r="N11" s="161">
        <v>0</v>
      </c>
      <c r="O11" s="158"/>
      <c r="P11" s="158"/>
      <c r="Q11" s="158"/>
      <c r="R11" s="162"/>
      <c r="S11" s="161">
        <v>7</v>
      </c>
      <c r="T11" s="158">
        <v>7</v>
      </c>
      <c r="U11" s="158"/>
      <c r="V11" s="158"/>
      <c r="W11" s="166"/>
      <c r="X11" s="161">
        <v>0</v>
      </c>
      <c r="Y11" s="158"/>
      <c r="Z11" s="158"/>
      <c r="AA11" s="158"/>
      <c r="AB11" s="162"/>
      <c r="AC11" s="161">
        <v>7</v>
      </c>
      <c r="AD11" s="158">
        <f>24+15</f>
        <v>39</v>
      </c>
      <c r="AE11" s="158"/>
      <c r="AF11" s="158"/>
      <c r="AG11" s="162"/>
      <c r="AH11" s="161">
        <v>1.5</v>
      </c>
      <c r="AI11" s="158">
        <v>2</v>
      </c>
      <c r="AJ11" s="158"/>
      <c r="AK11" s="158"/>
      <c r="AL11" s="162"/>
      <c r="AM11" s="161">
        <v>1</v>
      </c>
      <c r="AN11" s="158">
        <v>1</v>
      </c>
      <c r="AO11" s="158"/>
      <c r="AP11" s="158"/>
      <c r="AQ11" s="162"/>
      <c r="AR11" s="161">
        <v>1</v>
      </c>
      <c r="AS11" s="158">
        <v>1</v>
      </c>
      <c r="AT11" s="158"/>
      <c r="AU11" s="158"/>
      <c r="AV11" s="162"/>
      <c r="AW11" s="161">
        <v>2</v>
      </c>
      <c r="AX11" s="158">
        <v>2</v>
      </c>
      <c r="AY11" s="158"/>
      <c r="AZ11" s="158"/>
      <c r="BA11" s="162"/>
      <c r="BB11" s="161">
        <v>1.5</v>
      </c>
      <c r="BC11" s="158">
        <v>1.5</v>
      </c>
      <c r="BD11" s="158"/>
      <c r="BE11" s="158"/>
      <c r="BF11" s="162"/>
    </row>
    <row r="12" spans="2:58" x14ac:dyDescent="0.25">
      <c r="B12" s="232" t="s">
        <v>26</v>
      </c>
      <c r="C12" s="228">
        <f>C11+1</f>
        <v>45708</v>
      </c>
      <c r="D12" s="224">
        <f t="shared" si="9"/>
        <v>1.896551724137931</v>
      </c>
      <c r="E12" s="157">
        <f t="shared" si="10"/>
        <v>21.75</v>
      </c>
      <c r="F12" s="157">
        <f t="shared" si="11"/>
        <v>41.25</v>
      </c>
      <c r="G12" s="157">
        <f t="shared" si="12"/>
        <v>1</v>
      </c>
      <c r="H12" s="157">
        <f t="shared" si="13"/>
        <v>1</v>
      </c>
      <c r="I12" s="161">
        <v>6</v>
      </c>
      <c r="J12" s="158">
        <v>6</v>
      </c>
      <c r="K12" s="158"/>
      <c r="L12" s="158"/>
      <c r="M12" s="162"/>
      <c r="N12" s="161">
        <v>0</v>
      </c>
      <c r="O12" s="158"/>
      <c r="P12" s="158"/>
      <c r="Q12" s="158"/>
      <c r="R12" s="162"/>
      <c r="S12" s="161">
        <v>5</v>
      </c>
      <c r="T12" s="158">
        <v>5</v>
      </c>
      <c r="U12" s="158">
        <v>1</v>
      </c>
      <c r="V12" s="158">
        <v>1</v>
      </c>
      <c r="W12" s="162"/>
      <c r="X12" s="161">
        <v>5</v>
      </c>
      <c r="Y12" s="158">
        <v>8</v>
      </c>
      <c r="Z12" s="158"/>
      <c r="AA12" s="158"/>
      <c r="AB12" s="162"/>
      <c r="AC12" s="161">
        <v>0</v>
      </c>
      <c r="AD12" s="158">
        <v>16</v>
      </c>
      <c r="AE12" s="158"/>
      <c r="AF12" s="158"/>
      <c r="AG12" s="162"/>
      <c r="AH12" s="161">
        <v>2.5</v>
      </c>
      <c r="AI12" s="158">
        <v>3</v>
      </c>
      <c r="AJ12" s="158"/>
      <c r="AK12" s="158"/>
      <c r="AL12" s="162"/>
      <c r="AM12" s="161">
        <v>0.25</v>
      </c>
      <c r="AN12" s="158">
        <v>0.25</v>
      </c>
      <c r="AO12" s="158"/>
      <c r="AP12" s="158"/>
      <c r="AQ12" s="162"/>
      <c r="AR12" s="161">
        <v>1</v>
      </c>
      <c r="AS12" s="158">
        <v>1</v>
      </c>
      <c r="AT12" s="158"/>
      <c r="AU12" s="158"/>
      <c r="AV12" s="162"/>
      <c r="AW12" s="161">
        <v>2</v>
      </c>
      <c r="AX12" s="158">
        <v>2</v>
      </c>
      <c r="AY12" s="158"/>
      <c r="AZ12" s="158"/>
      <c r="BA12" s="162"/>
      <c r="BB12" s="161"/>
      <c r="BC12" s="158"/>
      <c r="BD12" s="158"/>
      <c r="BE12" s="158"/>
      <c r="BF12" s="162"/>
    </row>
    <row r="13" spans="2:58" x14ac:dyDescent="0.25">
      <c r="B13" s="232" t="s">
        <v>32</v>
      </c>
      <c r="C13" s="228">
        <f>C12+1</f>
        <v>45709</v>
      </c>
      <c r="D13" s="224">
        <f t="shared" si="9"/>
        <v>0.96129032258064517</v>
      </c>
      <c r="E13" s="157">
        <f t="shared" si="10"/>
        <v>38.75</v>
      </c>
      <c r="F13" s="157">
        <f t="shared" si="11"/>
        <v>37.25</v>
      </c>
      <c r="G13" s="157">
        <f t="shared" si="12"/>
        <v>1</v>
      </c>
      <c r="H13" s="157">
        <f t="shared" si="13"/>
        <v>0</v>
      </c>
      <c r="I13" s="161">
        <v>13</v>
      </c>
      <c r="J13" s="158">
        <v>13</v>
      </c>
      <c r="K13" s="158"/>
      <c r="L13" s="158"/>
      <c r="M13" s="162"/>
      <c r="N13" s="161">
        <v>0</v>
      </c>
      <c r="O13" s="158"/>
      <c r="P13" s="158">
        <v>0</v>
      </c>
      <c r="Q13" s="158">
        <v>0</v>
      </c>
      <c r="R13" s="162"/>
      <c r="S13" s="161">
        <v>6</v>
      </c>
      <c r="T13" s="158">
        <v>6</v>
      </c>
      <c r="U13" s="158"/>
      <c r="V13" s="158"/>
      <c r="W13" s="162"/>
      <c r="X13" s="161">
        <f>2+6</f>
        <v>8</v>
      </c>
      <c r="Y13" s="158">
        <f>2+6</f>
        <v>8</v>
      </c>
      <c r="Z13" s="158"/>
      <c r="AA13" s="158"/>
      <c r="AB13" s="162"/>
      <c r="AC13" s="161">
        <v>7</v>
      </c>
      <c r="AD13" s="158">
        <v>4</v>
      </c>
      <c r="AE13" s="158"/>
      <c r="AF13" s="158"/>
      <c r="AG13" s="162"/>
      <c r="AH13" s="161">
        <v>1.5</v>
      </c>
      <c r="AI13" s="158">
        <v>2</v>
      </c>
      <c r="AJ13" s="158"/>
      <c r="AK13" s="158"/>
      <c r="AL13" s="162"/>
      <c r="AM13" s="161">
        <v>0.25</v>
      </c>
      <c r="AN13" s="158">
        <v>0.25</v>
      </c>
      <c r="AO13" s="158"/>
      <c r="AP13" s="158"/>
      <c r="AQ13" s="162"/>
      <c r="AR13" s="161">
        <v>0</v>
      </c>
      <c r="AS13" s="158">
        <v>1</v>
      </c>
      <c r="AT13" s="158">
        <v>1</v>
      </c>
      <c r="AU13" s="158">
        <v>0</v>
      </c>
      <c r="AV13" s="162"/>
      <c r="AW13" s="161">
        <v>3</v>
      </c>
      <c r="AX13" s="158">
        <v>3</v>
      </c>
      <c r="AY13" s="158"/>
      <c r="AZ13" s="158"/>
      <c r="BA13" s="162"/>
      <c r="BB13" s="161"/>
      <c r="BC13" s="158"/>
      <c r="BD13" s="158"/>
      <c r="BE13" s="158"/>
      <c r="BF13" s="162"/>
    </row>
    <row r="14" spans="2:58" x14ac:dyDescent="0.25">
      <c r="B14" s="276" t="s">
        <v>33</v>
      </c>
      <c r="C14" s="276"/>
      <c r="D14" s="225">
        <f t="shared" si="9"/>
        <v>1.3029411764705883</v>
      </c>
      <c r="E14" s="170">
        <f t="shared" ref="E14:L14" si="14">SUM(E9:E13)</f>
        <v>170</v>
      </c>
      <c r="F14" s="170">
        <f t="shared" si="14"/>
        <v>221.5</v>
      </c>
      <c r="G14" s="170">
        <f t="shared" si="14"/>
        <v>2</v>
      </c>
      <c r="H14" s="170">
        <f t="shared" si="14"/>
        <v>1</v>
      </c>
      <c r="I14" s="172">
        <f t="shared" si="14"/>
        <v>44</v>
      </c>
      <c r="J14" s="170">
        <f t="shared" si="14"/>
        <v>44</v>
      </c>
      <c r="K14" s="170">
        <f t="shared" si="14"/>
        <v>0</v>
      </c>
      <c r="L14" s="170">
        <f t="shared" si="14"/>
        <v>0</v>
      </c>
      <c r="M14" s="171"/>
      <c r="N14" s="172">
        <f>SUM(N9:N13)</f>
        <v>0</v>
      </c>
      <c r="O14" s="170">
        <f>SUM(O9:O13)</f>
        <v>0</v>
      </c>
      <c r="P14" s="170">
        <f>SUM(P9:P13)</f>
        <v>0</v>
      </c>
      <c r="Q14" s="170">
        <f>SUM(Q9:Q13)</f>
        <v>0</v>
      </c>
      <c r="R14" s="171"/>
      <c r="S14" s="172">
        <f>SUM(S9:S13)</f>
        <v>30</v>
      </c>
      <c r="T14" s="170">
        <f>SUM(T9:T13)</f>
        <v>30</v>
      </c>
      <c r="U14" s="170">
        <f>SUM(U9:U13)</f>
        <v>1</v>
      </c>
      <c r="V14" s="170">
        <f>SUM(V9:V13)</f>
        <v>1</v>
      </c>
      <c r="W14" s="173"/>
      <c r="X14" s="172">
        <f>SUM(X9:X13)</f>
        <v>13</v>
      </c>
      <c r="Y14" s="170">
        <f>SUM(Y9:Y13)</f>
        <v>16</v>
      </c>
      <c r="Z14" s="170">
        <f>SUM(Z9:Z13)</f>
        <v>0</v>
      </c>
      <c r="AA14" s="170">
        <f>SUM(AA9:AA13)</f>
        <v>0</v>
      </c>
      <c r="AB14" s="171"/>
      <c r="AC14" s="172">
        <f>SUM(AC9:AC13)</f>
        <v>50</v>
      </c>
      <c r="AD14" s="170">
        <f>SUM(AD9:AD13)</f>
        <v>95</v>
      </c>
      <c r="AE14" s="170">
        <f>SUM(AE9:AE13)</f>
        <v>0</v>
      </c>
      <c r="AF14" s="170">
        <f>SUM(AF9:AF13)</f>
        <v>0</v>
      </c>
      <c r="AG14" s="171"/>
      <c r="AH14" s="172">
        <f>SUM(AH9:AH13)</f>
        <v>6.5</v>
      </c>
      <c r="AI14" s="170">
        <f>SUM(AI9:AI13)</f>
        <v>9</v>
      </c>
      <c r="AJ14" s="170">
        <f>SUM(AJ9:AJ13)</f>
        <v>0</v>
      </c>
      <c r="AK14" s="170">
        <f>SUM(AK9:AK13)</f>
        <v>0</v>
      </c>
      <c r="AL14" s="171"/>
      <c r="AM14" s="172">
        <f>SUM(AM9:AM13)</f>
        <v>7.5</v>
      </c>
      <c r="AN14" s="170">
        <f>SUM(AN9:AN13)</f>
        <v>7.5</v>
      </c>
      <c r="AO14" s="170">
        <f>SUM(AO9:AO13)</f>
        <v>0</v>
      </c>
      <c r="AP14" s="170">
        <f>SUM(AP9:AP13)</f>
        <v>0</v>
      </c>
      <c r="AQ14" s="171"/>
      <c r="AR14" s="172">
        <f>SUM(AR9:AR13)</f>
        <v>4</v>
      </c>
      <c r="AS14" s="170">
        <f>SUM(AS9:AS13)</f>
        <v>5</v>
      </c>
      <c r="AT14" s="170">
        <f>SUM(AT9:AT13)</f>
        <v>1</v>
      </c>
      <c r="AU14" s="170">
        <f>SUM(AU9:AU13)</f>
        <v>0</v>
      </c>
      <c r="AV14" s="171"/>
      <c r="AW14" s="172">
        <f>SUM(AW9:AW13)</f>
        <v>15</v>
      </c>
      <c r="AX14" s="170">
        <f>SUM(AX9:AX13)</f>
        <v>15</v>
      </c>
      <c r="AY14" s="170">
        <f>SUM(AY9:AY13)</f>
        <v>0</v>
      </c>
      <c r="AZ14" s="170">
        <f>SUM(AZ9:AZ13)</f>
        <v>0</v>
      </c>
      <c r="BA14" s="171"/>
      <c r="BB14" s="172"/>
      <c r="BC14" s="170"/>
      <c r="BD14" s="170"/>
      <c r="BE14" s="170"/>
      <c r="BF14" s="171"/>
    </row>
    <row r="15" spans="2:58" ht="18.75" customHeight="1" x14ac:dyDescent="0.25">
      <c r="B15" s="227" t="s">
        <v>25</v>
      </c>
      <c r="C15" s="228">
        <f>C13+3</f>
        <v>45712</v>
      </c>
      <c r="D15" s="224">
        <f t="shared" si="9"/>
        <v>0.97880539499036612</v>
      </c>
      <c r="E15" s="157">
        <f t="shared" si="10"/>
        <v>129.75</v>
      </c>
      <c r="F15" s="157">
        <f t="shared" si="11"/>
        <v>127</v>
      </c>
      <c r="G15" s="157">
        <f t="shared" si="12"/>
        <v>0</v>
      </c>
      <c r="H15" s="157">
        <f t="shared" si="13"/>
        <v>0</v>
      </c>
      <c r="I15" s="161">
        <v>33</v>
      </c>
      <c r="J15" s="158">
        <v>27</v>
      </c>
      <c r="K15" s="158"/>
      <c r="L15" s="158"/>
      <c r="M15" s="162"/>
      <c r="N15" s="161">
        <v>57</v>
      </c>
      <c r="O15" s="158">
        <v>57</v>
      </c>
      <c r="P15" s="158"/>
      <c r="Q15" s="158"/>
      <c r="R15" s="162"/>
      <c r="S15" s="161">
        <v>8</v>
      </c>
      <c r="T15" s="158">
        <v>8</v>
      </c>
      <c r="U15" s="158"/>
      <c r="V15" s="158"/>
      <c r="W15" s="162"/>
      <c r="X15" s="161">
        <v>21</v>
      </c>
      <c r="Y15" s="158">
        <v>21</v>
      </c>
      <c r="Z15" s="158"/>
      <c r="AA15" s="158"/>
      <c r="AB15" s="162"/>
      <c r="AC15" s="161">
        <v>6</v>
      </c>
      <c r="AD15" s="158">
        <v>10</v>
      </c>
      <c r="AE15" s="158"/>
      <c r="AF15" s="158"/>
      <c r="AG15" s="162"/>
      <c r="AH15" s="161">
        <v>1.5</v>
      </c>
      <c r="AI15" s="158">
        <v>2</v>
      </c>
      <c r="AJ15" s="158"/>
      <c r="AK15" s="158"/>
      <c r="AL15" s="162"/>
      <c r="AM15" s="161">
        <v>0.25</v>
      </c>
      <c r="AN15" s="158">
        <v>0</v>
      </c>
      <c r="AO15" s="158"/>
      <c r="AP15" s="158"/>
      <c r="AQ15" s="162"/>
      <c r="AR15" s="161">
        <v>1</v>
      </c>
      <c r="AS15" s="158">
        <v>0</v>
      </c>
      <c r="AT15" s="158"/>
      <c r="AU15" s="158"/>
      <c r="AV15" s="162"/>
      <c r="AW15" s="161">
        <v>2</v>
      </c>
      <c r="AX15" s="158">
        <v>2</v>
      </c>
      <c r="AY15" s="158"/>
      <c r="AZ15" s="158"/>
      <c r="BA15" s="162"/>
      <c r="BB15" s="161">
        <v>3</v>
      </c>
      <c r="BC15" s="158">
        <v>3</v>
      </c>
      <c r="BD15" s="158"/>
      <c r="BE15" s="158"/>
      <c r="BF15" s="162"/>
    </row>
    <row r="16" spans="2:58" x14ac:dyDescent="0.25">
      <c r="B16" s="227" t="s">
        <v>26</v>
      </c>
      <c r="C16" s="228">
        <f>C15+1</f>
        <v>45713</v>
      </c>
      <c r="D16" s="224">
        <f t="shared" si="9"/>
        <v>0.8193548387096774</v>
      </c>
      <c r="E16" s="157">
        <f t="shared" si="10"/>
        <v>116.25</v>
      </c>
      <c r="F16" s="157">
        <f t="shared" si="11"/>
        <v>95.25</v>
      </c>
      <c r="G16" s="157">
        <f t="shared" si="12"/>
        <v>1</v>
      </c>
      <c r="H16" s="157">
        <f t="shared" si="13"/>
        <v>1</v>
      </c>
      <c r="I16" s="161">
        <v>33</v>
      </c>
      <c r="J16" s="158">
        <v>17</v>
      </c>
      <c r="K16" s="158"/>
      <c r="L16" s="158"/>
      <c r="M16" s="162"/>
      <c r="N16" s="161">
        <v>57</v>
      </c>
      <c r="O16" s="158">
        <v>64</v>
      </c>
      <c r="P16" s="158"/>
      <c r="Q16" s="158"/>
      <c r="R16" s="165"/>
      <c r="S16" s="161">
        <v>7</v>
      </c>
      <c r="T16" s="158">
        <v>7</v>
      </c>
      <c r="U16" s="158">
        <v>1</v>
      </c>
      <c r="V16" s="158">
        <v>1</v>
      </c>
      <c r="W16" s="162"/>
      <c r="X16" s="161">
        <v>7</v>
      </c>
      <c r="Y16" s="158">
        <v>4</v>
      </c>
      <c r="Z16" s="158"/>
      <c r="AA16" s="158"/>
      <c r="AB16" s="162"/>
      <c r="AC16" s="161">
        <v>8</v>
      </c>
      <c r="AD16" s="158">
        <v>2</v>
      </c>
      <c r="AE16" s="158"/>
      <c r="AF16" s="158"/>
      <c r="AG16" s="162"/>
      <c r="AH16" s="161">
        <v>3</v>
      </c>
      <c r="AI16" s="158">
        <v>0</v>
      </c>
      <c r="AJ16" s="158"/>
      <c r="AK16" s="158"/>
      <c r="AL16" s="162"/>
      <c r="AM16" s="161">
        <v>0.25</v>
      </c>
      <c r="AN16" s="158">
        <v>0.25</v>
      </c>
      <c r="AO16" s="158"/>
      <c r="AP16" s="158"/>
      <c r="AQ16" s="162"/>
      <c r="AR16" s="161">
        <v>1</v>
      </c>
      <c r="AS16" s="158">
        <v>1</v>
      </c>
      <c r="AT16" s="158"/>
      <c r="AU16" s="158"/>
      <c r="AV16" s="162"/>
      <c r="AW16" s="161">
        <v>0</v>
      </c>
      <c r="AX16" s="158">
        <v>0</v>
      </c>
      <c r="AY16" s="158"/>
      <c r="AZ16" s="158"/>
      <c r="BA16" s="162"/>
      <c r="BB16" s="161">
        <v>1</v>
      </c>
      <c r="BC16" s="158">
        <v>1</v>
      </c>
      <c r="BD16" s="158"/>
      <c r="BE16" s="158"/>
      <c r="BF16" s="162"/>
    </row>
    <row r="17" spans="2:58" x14ac:dyDescent="0.25">
      <c r="B17" s="227" t="s">
        <v>27</v>
      </c>
      <c r="C17" s="228">
        <f>C16+1</f>
        <v>45714</v>
      </c>
      <c r="D17" s="224">
        <f t="shared" si="9"/>
        <v>0.64695009242144175</v>
      </c>
      <c r="E17" s="157">
        <f t="shared" si="10"/>
        <v>135.25</v>
      </c>
      <c r="F17" s="157">
        <f t="shared" si="11"/>
        <v>87.5</v>
      </c>
      <c r="G17" s="157">
        <f t="shared" si="12"/>
        <v>0</v>
      </c>
      <c r="H17" s="157">
        <f t="shared" si="13"/>
        <v>0</v>
      </c>
      <c r="I17" s="161">
        <v>33</v>
      </c>
      <c r="J17" s="158">
        <v>0</v>
      </c>
      <c r="K17" s="158"/>
      <c r="L17" s="158"/>
      <c r="M17" s="162"/>
      <c r="N17" s="161">
        <v>73</v>
      </c>
      <c r="O17" s="158">
        <v>64</v>
      </c>
      <c r="P17" s="158"/>
      <c r="Q17" s="158"/>
      <c r="R17" s="162"/>
      <c r="S17" s="161">
        <v>4</v>
      </c>
      <c r="T17" s="158">
        <v>4</v>
      </c>
      <c r="U17" s="158"/>
      <c r="V17" s="158"/>
      <c r="W17" s="162"/>
      <c r="X17" s="161">
        <v>15</v>
      </c>
      <c r="Y17" s="158">
        <v>17</v>
      </c>
      <c r="Z17" s="158"/>
      <c r="AA17" s="158"/>
      <c r="AB17" s="162"/>
      <c r="AC17" s="161">
        <v>8</v>
      </c>
      <c r="AD17" s="158"/>
      <c r="AE17" s="158"/>
      <c r="AF17" s="158"/>
      <c r="AG17" s="162"/>
      <c r="AH17" s="161">
        <v>1.25</v>
      </c>
      <c r="AI17" s="158">
        <v>1.25</v>
      </c>
      <c r="AJ17" s="158"/>
      <c r="AK17" s="158"/>
      <c r="AL17" s="162"/>
      <c r="AM17" s="161">
        <v>0</v>
      </c>
      <c r="AN17" s="158">
        <v>0.25</v>
      </c>
      <c r="AO17" s="158"/>
      <c r="AP17" s="158"/>
      <c r="AQ17" s="162"/>
      <c r="AR17" s="161">
        <v>1</v>
      </c>
      <c r="AS17" s="158">
        <v>1</v>
      </c>
      <c r="AT17" s="158"/>
      <c r="AU17" s="158"/>
      <c r="AV17" s="162"/>
      <c r="AW17" s="161">
        <v>0</v>
      </c>
      <c r="AX17" s="158">
        <v>0</v>
      </c>
      <c r="AY17" s="158"/>
      <c r="AZ17" s="158"/>
      <c r="BA17" s="162"/>
      <c r="BB17" s="161">
        <v>2.5</v>
      </c>
      <c r="BC17" s="158">
        <v>2.5</v>
      </c>
      <c r="BD17" s="158"/>
      <c r="BE17" s="158"/>
      <c r="BF17" s="162"/>
    </row>
    <row r="18" spans="2:58" x14ac:dyDescent="0.25">
      <c r="B18" s="227" t="s">
        <v>26</v>
      </c>
      <c r="C18" s="228">
        <f>C17+1</f>
        <v>45715</v>
      </c>
      <c r="D18" s="224">
        <f t="shared" si="9"/>
        <v>1.0696324951644101</v>
      </c>
      <c r="E18" s="157">
        <f t="shared" si="10"/>
        <v>129.25</v>
      </c>
      <c r="F18" s="157">
        <f t="shared" si="11"/>
        <v>138.25</v>
      </c>
      <c r="G18" s="157">
        <f t="shared" si="12"/>
        <v>0</v>
      </c>
      <c r="H18" s="157">
        <f t="shared" si="13"/>
        <v>2</v>
      </c>
      <c r="I18" s="161">
        <v>33</v>
      </c>
      <c r="J18" s="158">
        <v>22</v>
      </c>
      <c r="K18" s="158"/>
      <c r="L18" s="158"/>
      <c r="M18" s="162"/>
      <c r="N18" s="161">
        <v>72</v>
      </c>
      <c r="O18" s="158">
        <v>98</v>
      </c>
      <c r="P18" s="158"/>
      <c r="Q18" s="158"/>
      <c r="R18" s="162"/>
      <c r="S18" s="161">
        <v>4</v>
      </c>
      <c r="T18" s="158">
        <v>4</v>
      </c>
      <c r="U18" s="158"/>
      <c r="V18" s="158"/>
      <c r="W18" s="162"/>
      <c r="X18" s="161">
        <v>10</v>
      </c>
      <c r="Y18" s="158">
        <v>5</v>
      </c>
      <c r="Z18" s="158"/>
      <c r="AA18" s="158"/>
      <c r="AB18" s="162"/>
      <c r="AC18" s="161">
        <v>7</v>
      </c>
      <c r="AD18" s="158">
        <v>7</v>
      </c>
      <c r="AE18" s="158"/>
      <c r="AF18" s="158">
        <v>2</v>
      </c>
      <c r="AG18" s="162"/>
      <c r="AH18" s="161">
        <v>2.25</v>
      </c>
      <c r="AI18" s="158">
        <v>1.25</v>
      </c>
      <c r="AJ18" s="158"/>
      <c r="AK18" s="158"/>
      <c r="AL18" s="162"/>
      <c r="AM18" s="161">
        <v>1</v>
      </c>
      <c r="AN18" s="158">
        <v>1</v>
      </c>
      <c r="AO18" s="158"/>
      <c r="AP18" s="158"/>
      <c r="AQ18" s="162"/>
      <c r="AR18" s="161">
        <v>0</v>
      </c>
      <c r="AS18" s="158">
        <v>0</v>
      </c>
      <c r="AT18" s="158"/>
      <c r="AU18" s="158"/>
      <c r="AV18" s="162"/>
      <c r="AW18" s="161">
        <v>0</v>
      </c>
      <c r="AX18" s="158">
        <v>0</v>
      </c>
      <c r="AY18" s="158"/>
      <c r="AZ18" s="158"/>
      <c r="BA18" s="162"/>
      <c r="BB18" s="161"/>
      <c r="BC18" s="158"/>
      <c r="BD18" s="158"/>
      <c r="BE18" s="158"/>
      <c r="BF18" s="162"/>
    </row>
    <row r="19" spans="2:58" x14ac:dyDescent="0.25">
      <c r="B19" s="227" t="s">
        <v>32</v>
      </c>
      <c r="C19" s="228">
        <f>C18+1</f>
        <v>45716</v>
      </c>
      <c r="D19" s="224">
        <f t="shared" si="9"/>
        <v>1.3672456575682381</v>
      </c>
      <c r="E19" s="157">
        <f t="shared" si="10"/>
        <v>100.75</v>
      </c>
      <c r="F19" s="157">
        <f t="shared" si="11"/>
        <v>137.75</v>
      </c>
      <c r="G19" s="157">
        <f t="shared" si="12"/>
        <v>3</v>
      </c>
      <c r="H19" s="157">
        <f t="shared" si="13"/>
        <v>3</v>
      </c>
      <c r="I19" s="161">
        <v>33</v>
      </c>
      <c r="J19" s="158">
        <v>64</v>
      </c>
      <c r="K19" s="158"/>
      <c r="L19" s="158"/>
      <c r="M19" s="162"/>
      <c r="N19" s="161">
        <v>37</v>
      </c>
      <c r="O19" s="158">
        <v>47</v>
      </c>
      <c r="P19" s="158">
        <v>1</v>
      </c>
      <c r="Q19" s="158">
        <v>1</v>
      </c>
      <c r="R19" s="162"/>
      <c r="S19" s="161">
        <v>4</v>
      </c>
      <c r="T19" s="158">
        <v>4</v>
      </c>
      <c r="U19" s="158"/>
      <c r="V19" s="158"/>
      <c r="W19" s="162"/>
      <c r="X19" s="161">
        <v>15</v>
      </c>
      <c r="Y19" s="158">
        <v>14</v>
      </c>
      <c r="Z19" s="158"/>
      <c r="AA19" s="158"/>
      <c r="AB19" s="162"/>
      <c r="AC19" s="161">
        <v>10</v>
      </c>
      <c r="AD19" s="158">
        <v>6</v>
      </c>
      <c r="AE19" s="158"/>
      <c r="AF19" s="158">
        <v>1</v>
      </c>
      <c r="AG19" s="162"/>
      <c r="AH19" s="161">
        <v>1.25</v>
      </c>
      <c r="AI19" s="158">
        <v>2.25</v>
      </c>
      <c r="AJ19" s="158"/>
      <c r="AK19" s="158"/>
      <c r="AL19" s="162"/>
      <c r="AM19" s="161">
        <v>0.5</v>
      </c>
      <c r="AN19" s="158">
        <v>0.5</v>
      </c>
      <c r="AO19" s="158">
        <v>1</v>
      </c>
      <c r="AP19" s="158">
        <v>0</v>
      </c>
      <c r="AQ19" s="162"/>
      <c r="AR19" s="161">
        <v>0</v>
      </c>
      <c r="AS19" s="158">
        <v>0</v>
      </c>
      <c r="AT19" s="158">
        <v>1</v>
      </c>
      <c r="AU19" s="158">
        <v>1</v>
      </c>
      <c r="AV19" s="162"/>
      <c r="AW19" s="161">
        <v>0</v>
      </c>
      <c r="AX19" s="158">
        <v>0</v>
      </c>
      <c r="AY19" s="158"/>
      <c r="AZ19" s="158"/>
      <c r="BA19" s="162"/>
      <c r="BB19" s="161">
        <v>1</v>
      </c>
      <c r="BC19" s="158">
        <v>1</v>
      </c>
      <c r="BD19" s="158"/>
      <c r="BE19" s="158"/>
      <c r="BF19" s="162"/>
    </row>
    <row r="20" spans="2:58" x14ac:dyDescent="0.25">
      <c r="B20" s="276" t="s">
        <v>33</v>
      </c>
      <c r="C20" s="276"/>
      <c r="D20" s="225">
        <f t="shared" ref="D20" si="15">IF(E20=0,0,F20/E20)</f>
        <v>0.95828220858895707</v>
      </c>
      <c r="E20" s="170">
        <f t="shared" ref="E20:L20" si="16">SUM(E15:E19)</f>
        <v>611.25</v>
      </c>
      <c r="F20" s="170">
        <f t="shared" si="16"/>
        <v>585.75</v>
      </c>
      <c r="G20" s="170">
        <f t="shared" si="16"/>
        <v>4</v>
      </c>
      <c r="H20" s="170">
        <f t="shared" si="16"/>
        <v>6</v>
      </c>
      <c r="I20" s="172">
        <f t="shared" si="16"/>
        <v>165</v>
      </c>
      <c r="J20" s="170">
        <f t="shared" si="16"/>
        <v>130</v>
      </c>
      <c r="K20" s="170">
        <f t="shared" si="16"/>
        <v>0</v>
      </c>
      <c r="L20" s="170">
        <f t="shared" si="16"/>
        <v>0</v>
      </c>
      <c r="M20" s="171"/>
      <c r="N20" s="172">
        <f>SUM(N15:N19)</f>
        <v>296</v>
      </c>
      <c r="O20" s="170">
        <f>SUM(O15:O19)</f>
        <v>330</v>
      </c>
      <c r="P20" s="170">
        <f>SUM(P15:P19)</f>
        <v>1</v>
      </c>
      <c r="Q20" s="170">
        <f>SUM(Q15:Q19)</f>
        <v>1</v>
      </c>
      <c r="R20" s="247">
        <f>O20/N20</f>
        <v>1.1148648648648649</v>
      </c>
      <c r="S20" s="172">
        <f>SUM(S15:S19)</f>
        <v>27</v>
      </c>
      <c r="T20" s="170">
        <f>SUM(T15:T19)</f>
        <v>27</v>
      </c>
      <c r="U20" s="170">
        <f>SUM(U15:U19)</f>
        <v>1</v>
      </c>
      <c r="V20" s="170">
        <f>SUM(V15:V19)</f>
        <v>1</v>
      </c>
      <c r="W20" s="173"/>
      <c r="X20" s="172">
        <f>SUM(X15:X19)</f>
        <v>68</v>
      </c>
      <c r="Y20" s="170">
        <f>SUM(Y15:Y19)</f>
        <v>61</v>
      </c>
      <c r="Z20" s="170">
        <f>SUM(Z15:Z19)</f>
        <v>0</v>
      </c>
      <c r="AA20" s="170">
        <f>SUM(AA15:AA19)</f>
        <v>0</v>
      </c>
      <c r="AB20" s="171"/>
      <c r="AC20" s="172">
        <f>SUM(AC15:AC19)</f>
        <v>39</v>
      </c>
      <c r="AD20" s="170">
        <f>SUM(AD15:AD19)</f>
        <v>25</v>
      </c>
      <c r="AE20" s="170">
        <f>SUM(AE15:AE19)</f>
        <v>0</v>
      </c>
      <c r="AF20" s="170">
        <f>SUM(AF15:AF19)</f>
        <v>3</v>
      </c>
      <c r="AG20" s="171"/>
      <c r="AH20" s="172">
        <f>SUM(AH15:AH19)</f>
        <v>9.25</v>
      </c>
      <c r="AI20" s="170">
        <f>SUM(AI15:AI19)</f>
        <v>6.75</v>
      </c>
      <c r="AJ20" s="170">
        <f>SUM(AJ15:AJ19)</f>
        <v>0</v>
      </c>
      <c r="AK20" s="170">
        <f>SUM(AK15:AK19)</f>
        <v>0</v>
      </c>
      <c r="AL20" s="171"/>
      <c r="AM20" s="172">
        <f>SUM(AM15:AM19)</f>
        <v>2</v>
      </c>
      <c r="AN20" s="170">
        <f>SUM(AN15:AN19)</f>
        <v>2</v>
      </c>
      <c r="AO20" s="170">
        <f>SUM(AO15:AO19)</f>
        <v>1</v>
      </c>
      <c r="AP20" s="170">
        <f>SUM(AP15:AP19)</f>
        <v>0</v>
      </c>
      <c r="AQ20" s="171"/>
      <c r="AR20" s="172">
        <f>SUM(AR15:AR19)</f>
        <v>3</v>
      </c>
      <c r="AS20" s="170">
        <f>SUM(AS15:AS19)</f>
        <v>2</v>
      </c>
      <c r="AT20" s="170">
        <f>SUM(AT15:AT19)</f>
        <v>1</v>
      </c>
      <c r="AU20" s="170">
        <f>SUM(AU15:AU19)</f>
        <v>1</v>
      </c>
      <c r="AV20" s="171"/>
      <c r="AW20" s="172">
        <f>SUM(AW15:AW19)</f>
        <v>2</v>
      </c>
      <c r="AX20" s="170">
        <f>SUM(AX15:AX19)</f>
        <v>2</v>
      </c>
      <c r="AY20" s="170">
        <f>SUM(AY15:AY19)</f>
        <v>0</v>
      </c>
      <c r="AZ20" s="170">
        <f>SUM(AZ15:AZ19)</f>
        <v>0</v>
      </c>
      <c r="BA20" s="171"/>
      <c r="BB20" s="172">
        <f>SUM(BB15:BB19)</f>
        <v>7.5</v>
      </c>
      <c r="BC20" s="170">
        <f>SUM(BC15:BC19)</f>
        <v>7.5</v>
      </c>
      <c r="BD20" s="170">
        <f>SUM(BD15:BD19)</f>
        <v>0</v>
      </c>
      <c r="BE20" s="170">
        <f>SUM(BE15:BE19)</f>
        <v>0</v>
      </c>
      <c r="BF20" s="171"/>
    </row>
    <row r="21" spans="2:58" x14ac:dyDescent="0.25">
      <c r="B21" s="227" t="s">
        <v>25</v>
      </c>
      <c r="C21" s="228">
        <f>C19+3</f>
        <v>45719</v>
      </c>
      <c r="D21" s="224">
        <f t="shared" si="9"/>
        <v>1.0426195426195426</v>
      </c>
      <c r="E21" s="157">
        <f t="shared" si="10"/>
        <v>240.5</v>
      </c>
      <c r="F21" s="157">
        <f t="shared" si="11"/>
        <v>250.75</v>
      </c>
      <c r="G21" s="157">
        <f t="shared" si="12"/>
        <v>1</v>
      </c>
      <c r="H21" s="157">
        <f t="shared" si="13"/>
        <v>2</v>
      </c>
      <c r="I21" s="161">
        <v>44</v>
      </c>
      <c r="J21" s="158">
        <v>68</v>
      </c>
      <c r="K21" s="158"/>
      <c r="L21" s="158"/>
      <c r="M21" s="162"/>
      <c r="N21" s="161">
        <v>142</v>
      </c>
      <c r="O21" s="158">
        <v>123</v>
      </c>
      <c r="P21" s="158">
        <v>1</v>
      </c>
      <c r="Q21" s="158">
        <v>1</v>
      </c>
      <c r="R21" s="162"/>
      <c r="S21" s="161">
        <v>6</v>
      </c>
      <c r="T21" s="158">
        <v>6</v>
      </c>
      <c r="U21" s="158"/>
      <c r="V21" s="158"/>
      <c r="W21" s="162"/>
      <c r="X21" s="161">
        <v>7</v>
      </c>
      <c r="Y21" s="158">
        <v>12</v>
      </c>
      <c r="Z21" s="158"/>
      <c r="AA21" s="158"/>
      <c r="AB21" s="162"/>
      <c r="AC21" s="161">
        <v>39</v>
      </c>
      <c r="AD21" s="158">
        <v>39</v>
      </c>
      <c r="AE21" s="158"/>
      <c r="AF21" s="158"/>
      <c r="AG21" s="162"/>
      <c r="AH21" s="161">
        <v>1.25</v>
      </c>
      <c r="AI21" s="158">
        <v>1.5</v>
      </c>
      <c r="AJ21" s="158">
        <v>0</v>
      </c>
      <c r="AK21" s="158">
        <v>1</v>
      </c>
      <c r="AL21" s="162"/>
      <c r="AM21" s="161">
        <v>0.25</v>
      </c>
      <c r="AN21" s="158">
        <v>0.25</v>
      </c>
      <c r="AO21" s="158"/>
      <c r="AP21" s="158"/>
      <c r="AQ21" s="162"/>
      <c r="AR21" s="161">
        <v>1</v>
      </c>
      <c r="AS21" s="158">
        <v>1</v>
      </c>
      <c r="AT21" s="158"/>
      <c r="AU21" s="158"/>
      <c r="AV21" s="162"/>
      <c r="AW21" s="161">
        <v>0</v>
      </c>
      <c r="AX21" s="158">
        <v>0</v>
      </c>
      <c r="AY21" s="158"/>
      <c r="AZ21" s="158"/>
      <c r="BA21" s="162"/>
      <c r="BB21" s="161">
        <v>2</v>
      </c>
      <c r="BC21" s="158">
        <v>2</v>
      </c>
      <c r="BD21" s="158">
        <v>2</v>
      </c>
      <c r="BE21" s="158">
        <v>2</v>
      </c>
      <c r="BF21" s="162"/>
    </row>
    <row r="22" spans="2:58" x14ac:dyDescent="0.25">
      <c r="B22" s="227" t="s">
        <v>26</v>
      </c>
      <c r="C22" s="228">
        <f>C21+1</f>
        <v>45720</v>
      </c>
      <c r="D22" s="224">
        <f t="shared" si="9"/>
        <v>0.96264242575182124</v>
      </c>
      <c r="E22" s="157">
        <f t="shared" si="10"/>
        <v>160.61000000000001</v>
      </c>
      <c r="F22" s="157">
        <f t="shared" si="11"/>
        <v>154.61000000000001</v>
      </c>
      <c r="G22" s="157">
        <f t="shared" si="12"/>
        <v>2</v>
      </c>
      <c r="H22" s="157">
        <f t="shared" si="13"/>
        <v>2</v>
      </c>
      <c r="I22" s="161">
        <v>44</v>
      </c>
      <c r="J22" s="158">
        <v>55</v>
      </c>
      <c r="K22" s="158">
        <v>1</v>
      </c>
      <c r="L22" s="158">
        <v>1</v>
      </c>
      <c r="M22" s="162"/>
      <c r="N22" s="161">
        <v>79</v>
      </c>
      <c r="O22" s="158">
        <v>74</v>
      </c>
      <c r="P22" s="158"/>
      <c r="Q22" s="158"/>
      <c r="R22" s="162"/>
      <c r="S22" s="161">
        <v>4</v>
      </c>
      <c r="T22" s="158">
        <v>4</v>
      </c>
      <c r="U22" s="158">
        <v>1</v>
      </c>
      <c r="V22" s="158">
        <v>1</v>
      </c>
      <c r="W22" s="162"/>
      <c r="X22" s="161">
        <v>16</v>
      </c>
      <c r="Y22" s="158">
        <v>8</v>
      </c>
      <c r="Z22" s="158"/>
      <c r="AA22" s="158"/>
      <c r="AB22" s="162"/>
      <c r="AC22" s="161">
        <v>12</v>
      </c>
      <c r="AD22" s="158">
        <v>8</v>
      </c>
      <c r="AE22" s="158"/>
      <c r="AF22" s="158"/>
      <c r="AG22" s="162"/>
      <c r="AH22" s="161">
        <v>1.36</v>
      </c>
      <c r="AI22" s="158">
        <v>1.36</v>
      </c>
      <c r="AJ22" s="158"/>
      <c r="AK22" s="158"/>
      <c r="AL22" s="162"/>
      <c r="AM22" s="161">
        <v>0.25</v>
      </c>
      <c r="AN22" s="158">
        <v>0.25</v>
      </c>
      <c r="AO22" s="158"/>
      <c r="AP22" s="158"/>
      <c r="AQ22" s="162"/>
      <c r="AR22" s="161">
        <v>1</v>
      </c>
      <c r="AS22" s="158">
        <v>1</v>
      </c>
      <c r="AT22" s="158"/>
      <c r="AU22" s="158"/>
      <c r="AV22" s="162"/>
      <c r="AW22" s="161">
        <v>3</v>
      </c>
      <c r="AX22" s="158">
        <v>3</v>
      </c>
      <c r="AY22" s="158"/>
      <c r="AZ22" s="158"/>
      <c r="BA22" s="162"/>
      <c r="BB22" s="161">
        <v>2</v>
      </c>
      <c r="BC22" s="158">
        <v>2</v>
      </c>
      <c r="BD22" s="158">
        <v>4.5</v>
      </c>
      <c r="BE22" s="158">
        <v>4.5</v>
      </c>
      <c r="BF22" s="162"/>
    </row>
    <row r="23" spans="2:58" x14ac:dyDescent="0.25">
      <c r="B23" s="227" t="s">
        <v>27</v>
      </c>
      <c r="C23" s="228">
        <f>C22+1</f>
        <v>45721</v>
      </c>
      <c r="D23" s="224">
        <f t="shared" si="9"/>
        <v>0.9613725616429537</v>
      </c>
      <c r="E23" s="157">
        <f t="shared" si="10"/>
        <v>155.33000000000001</v>
      </c>
      <c r="F23" s="157">
        <f t="shared" si="11"/>
        <v>149.33000000000001</v>
      </c>
      <c r="G23" s="157">
        <f t="shared" si="12"/>
        <v>3</v>
      </c>
      <c r="H23" s="157">
        <f t="shared" si="13"/>
        <v>1</v>
      </c>
      <c r="I23" s="161">
        <v>44</v>
      </c>
      <c r="J23" s="158">
        <v>44</v>
      </c>
      <c r="K23" s="158"/>
      <c r="L23" s="158"/>
      <c r="M23" s="162"/>
      <c r="N23" s="161">
        <v>73</v>
      </c>
      <c r="O23" s="158">
        <v>74</v>
      </c>
      <c r="P23" s="158"/>
      <c r="Q23" s="158"/>
      <c r="R23" s="162"/>
      <c r="S23" s="161">
        <v>7</v>
      </c>
      <c r="T23" s="158">
        <v>7</v>
      </c>
      <c r="U23" s="158"/>
      <c r="V23" s="158"/>
      <c r="W23" s="162"/>
      <c r="X23" s="161">
        <v>12</v>
      </c>
      <c r="Y23" s="158">
        <v>5</v>
      </c>
      <c r="Z23" s="158">
        <v>3</v>
      </c>
      <c r="AA23" s="158">
        <v>1</v>
      </c>
      <c r="AB23" s="162"/>
      <c r="AC23" s="161">
        <v>10</v>
      </c>
      <c r="AD23" s="158">
        <v>9</v>
      </c>
      <c r="AE23" s="158"/>
      <c r="AF23" s="158"/>
      <c r="AG23" s="162"/>
      <c r="AH23" s="161">
        <v>3.33</v>
      </c>
      <c r="AI23" s="158">
        <v>4.33</v>
      </c>
      <c r="AJ23" s="158"/>
      <c r="AK23" s="158"/>
      <c r="AL23" s="162"/>
      <c r="AM23" s="161">
        <v>1</v>
      </c>
      <c r="AN23" s="158">
        <v>1</v>
      </c>
      <c r="AO23" s="158"/>
      <c r="AP23" s="158"/>
      <c r="AQ23" s="162"/>
      <c r="AR23" s="161">
        <v>1</v>
      </c>
      <c r="AS23" s="158">
        <v>1</v>
      </c>
      <c r="AT23" s="158"/>
      <c r="AU23" s="158"/>
      <c r="AV23" s="162"/>
      <c r="AW23" s="161">
        <v>4</v>
      </c>
      <c r="AX23" s="158">
        <v>4</v>
      </c>
      <c r="AY23" s="158"/>
      <c r="AZ23" s="158"/>
      <c r="BA23" s="162"/>
      <c r="BB23" s="161">
        <v>1</v>
      </c>
      <c r="BC23" s="158">
        <v>1</v>
      </c>
      <c r="BD23" s="158"/>
      <c r="BE23" s="158"/>
      <c r="BF23" s="162"/>
    </row>
    <row r="24" spans="2:58" ht="14.25" customHeight="1" x14ac:dyDescent="0.25">
      <c r="B24" s="227" t="s">
        <v>26</v>
      </c>
      <c r="C24" s="228">
        <f>C23+1</f>
        <v>45722</v>
      </c>
      <c r="D24" s="224">
        <f t="shared" si="9"/>
        <v>1.2642007926023777</v>
      </c>
      <c r="E24" s="157">
        <f t="shared" si="10"/>
        <v>90.84</v>
      </c>
      <c r="F24" s="157">
        <f t="shared" si="11"/>
        <v>114.84</v>
      </c>
      <c r="G24" s="157">
        <f t="shared" si="12"/>
        <v>2</v>
      </c>
      <c r="H24" s="157">
        <f t="shared" si="13"/>
        <v>2</v>
      </c>
      <c r="I24" s="161">
        <v>44</v>
      </c>
      <c r="J24" s="158">
        <v>44</v>
      </c>
      <c r="K24" s="158">
        <v>1</v>
      </c>
      <c r="L24" s="158">
        <v>1</v>
      </c>
      <c r="M24" s="162"/>
      <c r="N24" s="161">
        <v>14</v>
      </c>
      <c r="O24" s="158">
        <v>42</v>
      </c>
      <c r="P24" s="158"/>
      <c r="Q24" s="158"/>
      <c r="R24" s="162"/>
      <c r="S24" s="161">
        <v>9</v>
      </c>
      <c r="T24" s="158">
        <v>9</v>
      </c>
      <c r="U24" s="158"/>
      <c r="V24" s="158"/>
      <c r="W24" s="162"/>
      <c r="X24" s="161">
        <v>11</v>
      </c>
      <c r="Y24" s="158">
        <v>10</v>
      </c>
      <c r="Z24" s="158"/>
      <c r="AA24" s="158">
        <v>1</v>
      </c>
      <c r="AB24" s="162"/>
      <c r="AC24" s="161">
        <v>8</v>
      </c>
      <c r="AD24" s="158">
        <v>4</v>
      </c>
      <c r="AE24" s="158"/>
      <c r="AF24" s="158"/>
      <c r="AG24" s="162"/>
      <c r="AH24" s="161">
        <v>0.34</v>
      </c>
      <c r="AI24" s="158">
        <v>1.34</v>
      </c>
      <c r="AJ24" s="158">
        <v>1</v>
      </c>
      <c r="AK24" s="158">
        <v>0</v>
      </c>
      <c r="AL24" s="162"/>
      <c r="AM24" s="161">
        <v>0.5</v>
      </c>
      <c r="AN24" s="158">
        <v>0.5</v>
      </c>
      <c r="AO24" s="158"/>
      <c r="AP24" s="158"/>
      <c r="AQ24" s="162"/>
      <c r="AR24" s="161">
        <v>1</v>
      </c>
      <c r="AS24" s="158">
        <v>1</v>
      </c>
      <c r="AT24" s="158"/>
      <c r="AU24" s="158"/>
      <c r="AV24" s="162"/>
      <c r="AW24" s="161">
        <v>3</v>
      </c>
      <c r="AX24" s="158">
        <v>3</v>
      </c>
      <c r="AY24" s="158"/>
      <c r="AZ24" s="158"/>
      <c r="BA24" s="162"/>
      <c r="BB24" s="161">
        <v>5</v>
      </c>
      <c r="BC24" s="158">
        <v>0</v>
      </c>
      <c r="BD24" s="158"/>
      <c r="BE24" s="158"/>
      <c r="BF24" s="162"/>
    </row>
    <row r="25" spans="2:58" x14ac:dyDescent="0.25">
      <c r="B25" s="227" t="s">
        <v>32</v>
      </c>
      <c r="C25" s="228">
        <f>C24+1</f>
        <v>45723</v>
      </c>
      <c r="D25" s="224">
        <f t="shared" si="9"/>
        <v>1.0540766550522647</v>
      </c>
      <c r="E25" s="157">
        <f t="shared" si="10"/>
        <v>71.75</v>
      </c>
      <c r="F25" s="157">
        <f t="shared" si="11"/>
        <v>75.63</v>
      </c>
      <c r="G25" s="157">
        <f t="shared" si="12"/>
        <v>9</v>
      </c>
      <c r="H25" s="157">
        <f t="shared" si="13"/>
        <v>7</v>
      </c>
      <c r="I25" s="161">
        <v>33</v>
      </c>
      <c r="J25" s="158">
        <v>33</v>
      </c>
      <c r="K25" s="158">
        <v>1</v>
      </c>
      <c r="L25" s="158">
        <v>1</v>
      </c>
      <c r="M25" s="162"/>
      <c r="N25" s="161">
        <v>11</v>
      </c>
      <c r="O25" s="158">
        <v>13</v>
      </c>
      <c r="P25" s="158">
        <v>2</v>
      </c>
      <c r="Q25" s="158">
        <v>2</v>
      </c>
      <c r="R25" s="162"/>
      <c r="S25" s="161">
        <v>6</v>
      </c>
      <c r="T25" s="158">
        <v>6</v>
      </c>
      <c r="U25" s="158">
        <v>1</v>
      </c>
      <c r="V25" s="158">
        <v>1</v>
      </c>
      <c r="W25" s="162"/>
      <c r="X25" s="161">
        <v>6</v>
      </c>
      <c r="Y25" s="158">
        <v>13</v>
      </c>
      <c r="Z25" s="158">
        <v>2</v>
      </c>
      <c r="AA25" s="158">
        <v>1</v>
      </c>
      <c r="AB25" s="162"/>
      <c r="AC25" s="161">
        <v>13</v>
      </c>
      <c r="AD25" s="158">
        <v>8</v>
      </c>
      <c r="AE25" s="158"/>
      <c r="AF25" s="158"/>
      <c r="AG25" s="162"/>
      <c r="AH25" s="161">
        <v>0.25</v>
      </c>
      <c r="AI25" s="158">
        <v>0.13</v>
      </c>
      <c r="AJ25" s="158">
        <v>1</v>
      </c>
      <c r="AK25" s="158">
        <v>1</v>
      </c>
      <c r="AL25" s="162"/>
      <c r="AM25" s="161">
        <v>0.5</v>
      </c>
      <c r="AN25" s="158">
        <v>0.5</v>
      </c>
      <c r="AO25" s="158"/>
      <c r="AP25" s="158"/>
      <c r="AQ25" s="162"/>
      <c r="AR25" s="161"/>
      <c r="AS25" s="158"/>
      <c r="AT25" s="158">
        <v>1</v>
      </c>
      <c r="AU25" s="158">
        <v>1</v>
      </c>
      <c r="AV25" s="162"/>
      <c r="AW25" s="161">
        <v>2</v>
      </c>
      <c r="AX25" s="158">
        <v>2</v>
      </c>
      <c r="AY25" s="158">
        <v>1</v>
      </c>
      <c r="AZ25" s="158"/>
      <c r="BA25" s="162"/>
      <c r="BB25" s="161"/>
      <c r="BC25" s="158"/>
      <c r="BD25" s="158"/>
      <c r="BE25" s="158"/>
      <c r="BF25" s="162"/>
    </row>
    <row r="26" spans="2:58" x14ac:dyDescent="0.25">
      <c r="B26" s="276" t="s">
        <v>33</v>
      </c>
      <c r="C26" s="276"/>
      <c r="D26" s="225">
        <f t="shared" ref="D26" si="17">IF(E26=0,0,F26/E26)</f>
        <v>1.0363406255649972</v>
      </c>
      <c r="E26" s="170">
        <f t="shared" ref="E26:L26" si="18">SUM(E21:E25)</f>
        <v>719.03000000000009</v>
      </c>
      <c r="F26" s="170">
        <f t="shared" si="18"/>
        <v>745.16000000000008</v>
      </c>
      <c r="G26" s="170">
        <f t="shared" si="18"/>
        <v>17</v>
      </c>
      <c r="H26" s="170">
        <f t="shared" si="18"/>
        <v>14</v>
      </c>
      <c r="I26" s="172">
        <f t="shared" si="18"/>
        <v>209</v>
      </c>
      <c r="J26" s="170">
        <f t="shared" si="18"/>
        <v>244</v>
      </c>
      <c r="K26" s="170">
        <f t="shared" si="18"/>
        <v>3</v>
      </c>
      <c r="L26" s="170">
        <f t="shared" si="18"/>
        <v>3</v>
      </c>
      <c r="M26" s="171"/>
      <c r="N26" s="172">
        <f>SUM(N21:N25)</f>
        <v>319</v>
      </c>
      <c r="O26" s="170">
        <f>SUM(O21:O25)</f>
        <v>326</v>
      </c>
      <c r="P26" s="170">
        <f>SUM(P21:P25)</f>
        <v>3</v>
      </c>
      <c r="Q26" s="170">
        <f>SUM(Q21:Q25)</f>
        <v>3</v>
      </c>
      <c r="R26" s="247">
        <f>O26/N26</f>
        <v>1.0219435736677116</v>
      </c>
      <c r="S26" s="172">
        <f>SUM(S21:S25)</f>
        <v>32</v>
      </c>
      <c r="T26" s="170">
        <f>SUM(T21:T25)</f>
        <v>32</v>
      </c>
      <c r="U26" s="170">
        <f>SUM(U21:U25)</f>
        <v>2</v>
      </c>
      <c r="V26" s="170">
        <f>SUM(V21:V25)</f>
        <v>2</v>
      </c>
      <c r="W26" s="173"/>
      <c r="X26" s="172">
        <f>SUM(X21:X25)</f>
        <v>52</v>
      </c>
      <c r="Y26" s="170">
        <f>SUM(Y21:Y25)</f>
        <v>48</v>
      </c>
      <c r="Z26" s="170">
        <f>SUM(Z21:Z25)</f>
        <v>5</v>
      </c>
      <c r="AA26" s="170">
        <f>SUM(AA21:AA25)</f>
        <v>3</v>
      </c>
      <c r="AB26" s="171"/>
      <c r="AC26" s="172">
        <f>SUM(AC21:AC25)</f>
        <v>82</v>
      </c>
      <c r="AD26" s="170">
        <f>SUM(AD21:AD25)</f>
        <v>68</v>
      </c>
      <c r="AE26" s="170">
        <f>SUM(AE21:AE25)</f>
        <v>0</v>
      </c>
      <c r="AF26" s="170">
        <f>SUM(AF21:AF25)</f>
        <v>0</v>
      </c>
      <c r="AG26" s="171"/>
      <c r="AH26" s="172">
        <f>SUM(AH21:AH25)</f>
        <v>6.53</v>
      </c>
      <c r="AI26" s="170">
        <f>SUM(AI21:AI25)</f>
        <v>8.6600000000000019</v>
      </c>
      <c r="AJ26" s="170">
        <f>SUM(AJ21:AJ25)</f>
        <v>2</v>
      </c>
      <c r="AK26" s="170">
        <f>SUM(AK21:AK25)</f>
        <v>2</v>
      </c>
      <c r="AL26" s="171"/>
      <c r="AM26" s="172">
        <f>SUM(AM21:AM25)</f>
        <v>2.5</v>
      </c>
      <c r="AN26" s="170">
        <f>SUM(AN21:AN25)</f>
        <v>2.5</v>
      </c>
      <c r="AO26" s="170">
        <f>SUM(AO21:AO25)</f>
        <v>0</v>
      </c>
      <c r="AP26" s="170">
        <f>SUM(AP21:AP25)</f>
        <v>0</v>
      </c>
      <c r="AQ26" s="171"/>
      <c r="AR26" s="172">
        <f>SUM(AR21:AR25)</f>
        <v>4</v>
      </c>
      <c r="AS26" s="170">
        <f>SUM(AS21:AS25)</f>
        <v>4</v>
      </c>
      <c r="AT26" s="170">
        <f>SUM(AT21:AT25)</f>
        <v>1</v>
      </c>
      <c r="AU26" s="170">
        <f>SUM(AU21:AU25)</f>
        <v>1</v>
      </c>
      <c r="AV26" s="171"/>
      <c r="AW26" s="172">
        <f>SUM(AW21:AW25)</f>
        <v>12</v>
      </c>
      <c r="AX26" s="170">
        <f>SUM(AX21:AX25)</f>
        <v>12</v>
      </c>
      <c r="AY26" s="170">
        <f>SUM(AY21:AY25)</f>
        <v>1</v>
      </c>
      <c r="AZ26" s="170">
        <f>SUM(AZ21:AZ25)</f>
        <v>0</v>
      </c>
      <c r="BA26" s="171"/>
      <c r="BB26" s="172">
        <f>SUM(BB21:BB25)</f>
        <v>10</v>
      </c>
      <c r="BC26" s="170">
        <f>SUM(BC21:BC25)</f>
        <v>5</v>
      </c>
      <c r="BD26" s="170">
        <f>SUM(BD21:BD25)</f>
        <v>6.5</v>
      </c>
      <c r="BE26" s="170">
        <f>SUM(BE21:BE25)</f>
        <v>6.5</v>
      </c>
      <c r="BF26" s="171"/>
    </row>
    <row r="27" spans="2:58" x14ac:dyDescent="0.25">
      <c r="B27" s="227" t="s">
        <v>25</v>
      </c>
      <c r="C27" s="228">
        <f>C25+3</f>
        <v>45726</v>
      </c>
      <c r="D27" s="224">
        <f t="shared" si="9"/>
        <v>0.87663107947805452</v>
      </c>
      <c r="E27" s="157">
        <f t="shared" si="10"/>
        <v>210.75</v>
      </c>
      <c r="F27" s="157">
        <f t="shared" si="11"/>
        <v>184.75</v>
      </c>
      <c r="G27" s="157">
        <f t="shared" si="12"/>
        <v>3</v>
      </c>
      <c r="H27" s="157">
        <f t="shared" si="13"/>
        <v>3</v>
      </c>
      <c r="I27" s="161">
        <v>33</v>
      </c>
      <c r="J27" s="158">
        <v>33</v>
      </c>
      <c r="K27" s="158"/>
      <c r="L27" s="158"/>
      <c r="M27" s="162"/>
      <c r="N27" s="161">
        <v>72</v>
      </c>
      <c r="O27" s="158">
        <v>82</v>
      </c>
      <c r="P27" s="158">
        <v>1</v>
      </c>
      <c r="Q27" s="158">
        <v>1</v>
      </c>
      <c r="R27" s="162"/>
      <c r="S27" s="161">
        <v>2</v>
      </c>
      <c r="T27" s="158">
        <v>2</v>
      </c>
      <c r="U27" s="158"/>
      <c r="V27" s="158"/>
      <c r="W27" s="162"/>
      <c r="X27" s="161">
        <v>80</v>
      </c>
      <c r="Y27" s="158">
        <v>52</v>
      </c>
      <c r="Z27" s="158">
        <v>2</v>
      </c>
      <c r="AA27" s="158">
        <v>1</v>
      </c>
      <c r="AB27" s="162"/>
      <c r="AC27" s="161">
        <v>20</v>
      </c>
      <c r="AD27" s="158">
        <v>12</v>
      </c>
      <c r="AE27" s="158"/>
      <c r="AF27" s="158"/>
      <c r="AG27" s="162"/>
      <c r="AH27" s="161">
        <v>1.25</v>
      </c>
      <c r="AI27" s="158">
        <v>1.25</v>
      </c>
      <c r="AJ27" s="158">
        <v>0</v>
      </c>
      <c r="AK27" s="158">
        <v>1</v>
      </c>
      <c r="AL27" s="162"/>
      <c r="AM27" s="161">
        <v>0.5</v>
      </c>
      <c r="AN27" s="158">
        <v>0.5</v>
      </c>
      <c r="AO27" s="158"/>
      <c r="AP27" s="158"/>
      <c r="AQ27" s="162"/>
      <c r="AR27" s="161"/>
      <c r="AS27" s="158"/>
      <c r="AT27" s="158"/>
      <c r="AU27" s="158"/>
      <c r="AV27" s="162"/>
      <c r="AW27" s="161">
        <v>2</v>
      </c>
      <c r="AX27" s="158">
        <v>2</v>
      </c>
      <c r="AY27" s="158"/>
      <c r="AZ27" s="158"/>
      <c r="BA27" s="162"/>
      <c r="BB27" s="161"/>
      <c r="BC27" s="158"/>
      <c r="BD27" s="158"/>
      <c r="BE27" s="158"/>
      <c r="BF27" s="162"/>
    </row>
    <row r="28" spans="2:58" x14ac:dyDescent="0.25">
      <c r="B28" s="227" t="s">
        <v>26</v>
      </c>
      <c r="C28" s="228">
        <f>C27+1</f>
        <v>45727</v>
      </c>
      <c r="D28" s="224">
        <f t="shared" si="9"/>
        <v>1.3310344827586207</v>
      </c>
      <c r="E28" s="157">
        <f t="shared" si="10"/>
        <v>108.75</v>
      </c>
      <c r="F28" s="157">
        <f t="shared" si="11"/>
        <v>144.75</v>
      </c>
      <c r="G28" s="157">
        <f>SUM(K28,P28,U28,Z28,AE28,AJ28,AO29,AT28,AY28)</f>
        <v>0</v>
      </c>
      <c r="H28" s="157">
        <f t="shared" si="13"/>
        <v>2</v>
      </c>
      <c r="I28" s="161">
        <v>33</v>
      </c>
      <c r="J28" s="158">
        <v>33</v>
      </c>
      <c r="K28" s="158"/>
      <c r="L28" s="158"/>
      <c r="M28" s="162"/>
      <c r="N28" s="161">
        <v>54</v>
      </c>
      <c r="O28" s="158">
        <v>62</v>
      </c>
      <c r="P28" s="158"/>
      <c r="Q28" s="158"/>
      <c r="R28" s="162"/>
      <c r="S28" s="161">
        <v>2</v>
      </c>
      <c r="T28" s="158">
        <v>2</v>
      </c>
      <c r="U28" s="158"/>
      <c r="V28" s="158"/>
      <c r="W28" s="162"/>
      <c r="X28" s="161">
        <v>1</v>
      </c>
      <c r="Y28" s="158">
        <v>36</v>
      </c>
      <c r="Z28" s="158"/>
      <c r="AA28" s="158">
        <v>1</v>
      </c>
      <c r="AB28" s="162"/>
      <c r="AC28" s="161">
        <v>13</v>
      </c>
      <c r="AD28" s="158">
        <v>6</v>
      </c>
      <c r="AE28" s="158"/>
      <c r="AF28" s="158"/>
      <c r="AG28" s="162"/>
      <c r="AH28" s="161">
        <v>1.25</v>
      </c>
      <c r="AI28" s="158">
        <v>1.25</v>
      </c>
      <c r="AJ28" s="158">
        <v>0</v>
      </c>
      <c r="AK28" s="158">
        <v>1</v>
      </c>
      <c r="AL28" s="162"/>
      <c r="AM28" s="161">
        <v>0.5</v>
      </c>
      <c r="AN28" s="158">
        <v>0.5</v>
      </c>
      <c r="AP28" s="158"/>
      <c r="AQ28" s="162"/>
      <c r="AR28" s="161"/>
      <c r="AS28" s="158"/>
      <c r="AT28" s="158"/>
      <c r="AU28" s="158"/>
      <c r="AV28" s="162"/>
      <c r="AW28" s="161">
        <v>4</v>
      </c>
      <c r="AX28" s="158">
        <v>4</v>
      </c>
      <c r="AY28" s="158"/>
      <c r="AZ28" s="158"/>
      <c r="BA28" s="162"/>
      <c r="BB28" s="161">
        <v>0</v>
      </c>
      <c r="BC28" s="158">
        <v>5</v>
      </c>
      <c r="BD28" s="158"/>
      <c r="BE28" s="158"/>
      <c r="BF28" s="162"/>
    </row>
    <row r="29" spans="2:58" x14ac:dyDescent="0.25">
      <c r="B29" s="227" t="s">
        <v>27</v>
      </c>
      <c r="C29" s="228">
        <f>C28+1</f>
        <v>45728</v>
      </c>
      <c r="D29" s="224">
        <f t="shared" si="9"/>
        <v>1.544987146529563</v>
      </c>
      <c r="E29" s="157">
        <f t="shared" si="10"/>
        <v>97.25</v>
      </c>
      <c r="F29" s="157">
        <f t="shared" si="11"/>
        <v>150.25</v>
      </c>
      <c r="G29" s="157">
        <f>SUM(K29,P29,U29,Z29,AE29,AJ29,AO30,AT29,AY29)</f>
        <v>0</v>
      </c>
      <c r="H29" s="157">
        <f t="shared" si="13"/>
        <v>2</v>
      </c>
      <c r="I29" s="161">
        <v>22</v>
      </c>
      <c r="J29" s="158">
        <v>22</v>
      </c>
      <c r="K29" s="158"/>
      <c r="L29" s="158"/>
      <c r="M29" s="162"/>
      <c r="N29" s="161">
        <v>33</v>
      </c>
      <c r="O29" s="158">
        <v>73</v>
      </c>
      <c r="P29" s="158"/>
      <c r="Q29" s="158"/>
      <c r="R29" s="162"/>
      <c r="S29" s="161">
        <v>3</v>
      </c>
      <c r="T29" s="158">
        <v>3</v>
      </c>
      <c r="U29" s="158"/>
      <c r="V29" s="158"/>
      <c r="W29" s="162"/>
      <c r="X29" s="161">
        <v>20</v>
      </c>
      <c r="Y29" s="158">
        <v>33</v>
      </c>
      <c r="Z29" s="158"/>
      <c r="AA29" s="158"/>
      <c r="AB29" s="162"/>
      <c r="AC29" s="161">
        <v>12</v>
      </c>
      <c r="AD29" s="158">
        <v>10</v>
      </c>
      <c r="AE29" s="158"/>
      <c r="AF29" s="158">
        <v>1</v>
      </c>
      <c r="AG29" s="162"/>
      <c r="AH29" s="161">
        <v>1.25</v>
      </c>
      <c r="AI29" s="158">
        <v>2.25</v>
      </c>
      <c r="AJ29" s="158"/>
      <c r="AK29" s="158"/>
      <c r="AL29" s="162"/>
      <c r="AM29" s="161">
        <v>2</v>
      </c>
      <c r="AN29" s="158">
        <v>2</v>
      </c>
      <c r="AO29" s="158">
        <v>0</v>
      </c>
      <c r="AP29" s="158">
        <v>1</v>
      </c>
      <c r="AQ29" s="162"/>
      <c r="AR29" s="275">
        <v>0</v>
      </c>
      <c r="AS29" s="158">
        <v>1</v>
      </c>
      <c r="AT29" s="158"/>
      <c r="AU29" s="158"/>
      <c r="AV29" s="162"/>
      <c r="AW29" s="161">
        <v>4</v>
      </c>
      <c r="AX29" s="158">
        <v>4</v>
      </c>
      <c r="AY29" s="158"/>
      <c r="AZ29" s="158"/>
      <c r="BA29" s="162"/>
      <c r="BB29" s="161"/>
      <c r="BC29" s="158"/>
      <c r="BD29" s="158"/>
      <c r="BE29" s="158"/>
      <c r="BF29" s="162"/>
    </row>
    <row r="30" spans="2:58" x14ac:dyDescent="0.25">
      <c r="B30" s="227" t="s">
        <v>26</v>
      </c>
      <c r="C30" s="228">
        <f>C29+1</f>
        <v>45729</v>
      </c>
      <c r="D30" s="224">
        <f t="shared" si="9"/>
        <v>1</v>
      </c>
      <c r="E30" s="157">
        <f t="shared" si="10"/>
        <v>116.14</v>
      </c>
      <c r="F30" s="157">
        <f t="shared" si="11"/>
        <v>116.14</v>
      </c>
      <c r="G30" s="157">
        <f t="shared" si="12"/>
        <v>3</v>
      </c>
      <c r="H30" s="157">
        <f t="shared" si="13"/>
        <v>3</v>
      </c>
      <c r="I30" s="161">
        <v>22</v>
      </c>
      <c r="J30" s="158">
        <v>22</v>
      </c>
      <c r="K30" s="158">
        <v>1</v>
      </c>
      <c r="L30" s="158">
        <v>1</v>
      </c>
      <c r="M30" s="162"/>
      <c r="N30" s="161">
        <v>53</v>
      </c>
      <c r="O30" s="158">
        <v>27</v>
      </c>
      <c r="P30" s="158">
        <v>1</v>
      </c>
      <c r="Q30" s="158">
        <v>1</v>
      </c>
      <c r="R30" s="162"/>
      <c r="S30" s="161">
        <v>2</v>
      </c>
      <c r="T30" s="158">
        <v>2</v>
      </c>
      <c r="U30" s="158"/>
      <c r="V30" s="158"/>
      <c r="W30" s="162"/>
      <c r="X30" s="161">
        <v>20</v>
      </c>
      <c r="Y30" s="158">
        <v>44</v>
      </c>
      <c r="Z30" s="158"/>
      <c r="AA30" s="158">
        <v>1</v>
      </c>
      <c r="AB30" s="162"/>
      <c r="AC30" s="161">
        <v>11</v>
      </c>
      <c r="AD30" s="158">
        <v>13</v>
      </c>
      <c r="AE30" s="158"/>
      <c r="AF30" s="158"/>
      <c r="AG30" s="162"/>
      <c r="AH30" s="161">
        <v>1.1399999999999999</v>
      </c>
      <c r="AI30" s="158">
        <v>1.1399999999999999</v>
      </c>
      <c r="AJ30" s="158"/>
      <c r="AK30" s="158"/>
      <c r="AL30" s="162"/>
      <c r="AM30" s="161">
        <v>3</v>
      </c>
      <c r="AN30" s="158">
        <v>3</v>
      </c>
      <c r="AO30" s="158"/>
      <c r="AP30" s="158"/>
      <c r="AQ30" s="162"/>
      <c r="AR30" s="161"/>
      <c r="AS30" s="158"/>
      <c r="AT30" s="158">
        <v>1</v>
      </c>
      <c r="AU30" s="158">
        <v>0</v>
      </c>
      <c r="AV30" s="162"/>
      <c r="AW30" s="161">
        <v>4</v>
      </c>
      <c r="AX30" s="158">
        <v>4</v>
      </c>
      <c r="AY30" s="158"/>
      <c r="AZ30" s="158"/>
      <c r="BA30" s="162"/>
      <c r="BB30" s="161"/>
      <c r="BC30" s="158"/>
      <c r="BD30" s="158">
        <v>8.5</v>
      </c>
      <c r="BE30" s="158">
        <v>8.5</v>
      </c>
      <c r="BF30" s="162"/>
    </row>
    <row r="31" spans="2:58" x14ac:dyDescent="0.25">
      <c r="B31" s="227" t="s">
        <v>32</v>
      </c>
      <c r="C31" s="228">
        <f>C30+1</f>
        <v>45730</v>
      </c>
      <c r="D31" s="224">
        <f t="shared" si="9"/>
        <v>1.0218463706835801</v>
      </c>
      <c r="E31" s="157">
        <f t="shared" si="10"/>
        <v>85.14</v>
      </c>
      <c r="F31" s="157">
        <f t="shared" si="11"/>
        <v>87</v>
      </c>
      <c r="G31" s="157">
        <f t="shared" si="12"/>
        <v>6</v>
      </c>
      <c r="H31" s="157">
        <f t="shared" si="13"/>
        <v>2</v>
      </c>
      <c r="I31" s="161">
        <v>22</v>
      </c>
      <c r="J31" s="158">
        <v>22</v>
      </c>
      <c r="K31" s="158"/>
      <c r="L31" s="158"/>
      <c r="M31" s="162"/>
      <c r="N31" s="161">
        <v>23</v>
      </c>
      <c r="O31" s="158">
        <v>7</v>
      </c>
      <c r="P31" s="158">
        <v>2</v>
      </c>
      <c r="Q31" s="158">
        <v>2</v>
      </c>
      <c r="R31" s="162"/>
      <c r="S31" s="161">
        <v>1</v>
      </c>
      <c r="T31" s="158">
        <v>1</v>
      </c>
      <c r="U31" s="158"/>
      <c r="V31" s="158"/>
      <c r="W31" s="162"/>
      <c r="X31" s="161">
        <v>16</v>
      </c>
      <c r="Y31" s="158">
        <v>36</v>
      </c>
      <c r="Z31" s="158">
        <v>2</v>
      </c>
      <c r="AA31" s="158">
        <v>0</v>
      </c>
      <c r="AB31" s="162"/>
      <c r="AC31" s="161">
        <v>8</v>
      </c>
      <c r="AD31" s="158">
        <v>6</v>
      </c>
      <c r="AE31" s="158"/>
      <c r="AF31" s="158"/>
      <c r="AG31" s="162"/>
      <c r="AH31" s="161">
        <v>1.1399999999999999</v>
      </c>
      <c r="AI31" s="158">
        <v>0</v>
      </c>
      <c r="AJ31" s="158"/>
      <c r="AK31" s="158"/>
      <c r="AL31" s="162"/>
      <c r="AM31" s="161">
        <v>10</v>
      </c>
      <c r="AN31" s="158">
        <v>10</v>
      </c>
      <c r="AO31" s="158">
        <v>1</v>
      </c>
      <c r="AP31" s="158"/>
      <c r="AQ31" s="162"/>
      <c r="AR31" s="161"/>
      <c r="AS31" s="158"/>
      <c r="AT31" s="158">
        <v>1</v>
      </c>
      <c r="AU31" s="158">
        <v>0</v>
      </c>
      <c r="AV31" s="162"/>
      <c r="AW31" s="161">
        <v>4</v>
      </c>
      <c r="AX31" s="158">
        <v>5</v>
      </c>
      <c r="AY31" s="158"/>
      <c r="AZ31" s="158"/>
      <c r="BA31" s="162"/>
      <c r="BB31" s="161"/>
      <c r="BC31" s="158"/>
      <c r="BD31" s="158"/>
      <c r="BE31" s="158"/>
      <c r="BF31" s="162"/>
    </row>
    <row r="32" spans="2:58" x14ac:dyDescent="0.25">
      <c r="B32" s="276" t="s">
        <v>33</v>
      </c>
      <c r="C32" s="276"/>
      <c r="D32" s="225">
        <f t="shared" ref="D32" si="19">IF(E32=0,0,F32/E32)</f>
        <v>1.1049463618270958</v>
      </c>
      <c r="E32" s="170">
        <f t="shared" ref="E32:L32" si="20">SUM(E27:E31)</f>
        <v>618.03</v>
      </c>
      <c r="F32" s="170">
        <f t="shared" si="20"/>
        <v>682.89</v>
      </c>
      <c r="G32" s="170">
        <f t="shared" si="20"/>
        <v>12</v>
      </c>
      <c r="H32" s="170">
        <f t="shared" si="20"/>
        <v>12</v>
      </c>
      <c r="I32" s="172">
        <f t="shared" si="20"/>
        <v>132</v>
      </c>
      <c r="J32" s="170">
        <f t="shared" si="20"/>
        <v>132</v>
      </c>
      <c r="K32" s="170">
        <f t="shared" si="20"/>
        <v>1</v>
      </c>
      <c r="L32" s="170">
        <f t="shared" si="20"/>
        <v>1</v>
      </c>
      <c r="M32" s="171"/>
      <c r="N32" s="172">
        <f>SUM(N27:N31)</f>
        <v>235</v>
      </c>
      <c r="O32" s="170">
        <f>SUM(O27:O31)</f>
        <v>251</v>
      </c>
      <c r="P32" s="170">
        <f>SUM(P27:P31)</f>
        <v>4</v>
      </c>
      <c r="Q32" s="170">
        <f>SUM(Q27:Q31)</f>
        <v>4</v>
      </c>
      <c r="R32" s="171"/>
      <c r="S32" s="172">
        <f>SUM(S27:S31)</f>
        <v>10</v>
      </c>
      <c r="T32" s="170">
        <f>SUM(T27:T31)</f>
        <v>10</v>
      </c>
      <c r="U32" s="170">
        <f>SUM(U27:U31)</f>
        <v>0</v>
      </c>
      <c r="V32" s="170">
        <f>SUM(V27:V31)</f>
        <v>0</v>
      </c>
      <c r="W32" s="173"/>
      <c r="X32" s="172">
        <f>SUM(X27:X31)</f>
        <v>137</v>
      </c>
      <c r="Y32" s="170">
        <f>SUM(Y27:Y31)</f>
        <v>201</v>
      </c>
      <c r="Z32" s="170">
        <f>SUM(Z27:Z31)</f>
        <v>4</v>
      </c>
      <c r="AA32" s="170">
        <f>SUM(AA27:AA31)</f>
        <v>3</v>
      </c>
      <c r="AB32" s="171"/>
      <c r="AC32" s="172">
        <f>SUM(AC27:AC31)</f>
        <v>64</v>
      </c>
      <c r="AD32" s="170">
        <f>SUM(AD27:AD31)</f>
        <v>47</v>
      </c>
      <c r="AE32" s="170">
        <f>SUM(AE27:AE31)</f>
        <v>0</v>
      </c>
      <c r="AF32" s="170">
        <f>SUM(AF27:AF31)</f>
        <v>1</v>
      </c>
      <c r="AG32" s="171"/>
      <c r="AH32" s="172">
        <f>SUM(AH27:AH31)</f>
        <v>6.0299999999999994</v>
      </c>
      <c r="AI32" s="170">
        <f>SUM(AI27:AI31)</f>
        <v>5.89</v>
      </c>
      <c r="AJ32" s="170">
        <f>SUM(AJ27:AJ31)</f>
        <v>0</v>
      </c>
      <c r="AK32" s="170">
        <f>SUM(AK27:AK31)</f>
        <v>2</v>
      </c>
      <c r="AL32" s="171"/>
      <c r="AM32" s="172">
        <f>SUM(AM27:AM31)</f>
        <v>16</v>
      </c>
      <c r="AN32" s="170">
        <f>SUM(AN27:AN31)</f>
        <v>16</v>
      </c>
      <c r="AO32" s="170">
        <f>SUM(AO27:AO31)</f>
        <v>1</v>
      </c>
      <c r="AP32" s="170">
        <f>SUM(AP27:AP31)</f>
        <v>1</v>
      </c>
      <c r="AQ32" s="171"/>
      <c r="AR32" s="172">
        <f>SUM(AR27:AR31)</f>
        <v>0</v>
      </c>
      <c r="AS32" s="170">
        <f>SUM(AS27:AS31)</f>
        <v>1</v>
      </c>
      <c r="AT32" s="170">
        <f>SUM(AT27:AT31)</f>
        <v>2</v>
      </c>
      <c r="AU32" s="170">
        <f>SUM(AU27:AU31)</f>
        <v>0</v>
      </c>
      <c r="AV32" s="171"/>
      <c r="AW32" s="172">
        <f>SUM(AW27:AW31)</f>
        <v>18</v>
      </c>
      <c r="AX32" s="170">
        <f>SUM(AX27:AX31)</f>
        <v>19</v>
      </c>
      <c r="AY32" s="170">
        <f>SUM(AY27:AY31)</f>
        <v>0</v>
      </c>
      <c r="AZ32" s="170">
        <f>SUM(AZ27:AZ31)</f>
        <v>0</v>
      </c>
      <c r="BA32" s="171"/>
      <c r="BB32" s="172"/>
      <c r="BC32" s="170"/>
      <c r="BD32" s="170"/>
      <c r="BE32" s="170"/>
      <c r="BF32" s="171"/>
    </row>
    <row r="33" spans="2:58" ht="15" customHeight="1" x14ac:dyDescent="0.25">
      <c r="B33" s="227" t="s">
        <v>25</v>
      </c>
      <c r="C33" s="228">
        <f>C31+3</f>
        <v>45733</v>
      </c>
      <c r="D33" s="224">
        <f t="shared" si="9"/>
        <v>1.0423846306199247</v>
      </c>
      <c r="E33" s="157">
        <f t="shared" si="10"/>
        <v>151.47</v>
      </c>
      <c r="F33" s="157">
        <f t="shared" si="11"/>
        <v>157.88999999999999</v>
      </c>
      <c r="G33" s="157">
        <f t="shared" si="12"/>
        <v>1</v>
      </c>
      <c r="H33" s="157">
        <f t="shared" si="13"/>
        <v>4</v>
      </c>
      <c r="I33" s="161">
        <v>11</v>
      </c>
      <c r="J33" s="158">
        <v>8</v>
      </c>
      <c r="K33" s="158"/>
      <c r="L33" s="158"/>
      <c r="M33" s="162"/>
      <c r="N33" s="161">
        <v>100</v>
      </c>
      <c r="O33" s="158">
        <v>107</v>
      </c>
      <c r="P33" s="158"/>
      <c r="Q33" s="158"/>
      <c r="R33" s="162"/>
      <c r="S33" s="161">
        <v>3</v>
      </c>
      <c r="T33" s="158">
        <v>3</v>
      </c>
      <c r="U33" s="158"/>
      <c r="V33" s="158"/>
      <c r="W33" s="162"/>
      <c r="X33" s="161">
        <v>20</v>
      </c>
      <c r="Y33" s="158">
        <v>20</v>
      </c>
      <c r="Z33" s="158">
        <v>1</v>
      </c>
      <c r="AA33" s="158">
        <v>1</v>
      </c>
      <c r="AB33" s="162"/>
      <c r="AC33" s="161">
        <v>12</v>
      </c>
      <c r="AD33" s="158">
        <v>12</v>
      </c>
      <c r="AE33" s="158"/>
      <c r="AF33" s="158">
        <v>1</v>
      </c>
      <c r="AG33" s="162"/>
      <c r="AH33" s="161">
        <v>1.47</v>
      </c>
      <c r="AI33" s="158">
        <f>0.64+0.25</f>
        <v>0.89</v>
      </c>
      <c r="AJ33" s="158"/>
      <c r="AK33" s="158"/>
      <c r="AL33" s="162"/>
      <c r="AM33" s="265" t="s">
        <v>47</v>
      </c>
      <c r="AN33" s="266" t="s">
        <v>47</v>
      </c>
      <c r="AO33" s="267" t="s">
        <v>48</v>
      </c>
      <c r="AP33" s="176">
        <v>1</v>
      </c>
      <c r="AQ33" s="298" t="s">
        <v>49</v>
      </c>
      <c r="AR33" s="175"/>
      <c r="AS33" s="176"/>
      <c r="AT33" s="267" t="s">
        <v>48</v>
      </c>
      <c r="AU33" s="176">
        <v>1</v>
      </c>
      <c r="AV33" s="298" t="s">
        <v>49</v>
      </c>
      <c r="AW33" s="161">
        <v>4</v>
      </c>
      <c r="AX33" s="158">
        <v>7</v>
      </c>
      <c r="AY33" s="158"/>
      <c r="AZ33" s="158"/>
      <c r="BA33" s="162"/>
      <c r="BB33" s="161"/>
      <c r="BC33" s="158"/>
      <c r="BD33" s="158">
        <v>4</v>
      </c>
      <c r="BE33" s="158">
        <v>4</v>
      </c>
      <c r="BF33" s="298" t="s">
        <v>49</v>
      </c>
    </row>
    <row r="34" spans="2:58" x14ac:dyDescent="0.25">
      <c r="B34" s="227" t="s">
        <v>26</v>
      </c>
      <c r="C34" s="228">
        <f>C33+1</f>
        <v>45734</v>
      </c>
      <c r="D34" s="224">
        <f t="shared" si="9"/>
        <v>0.83546664951437566</v>
      </c>
      <c r="E34" s="157">
        <f t="shared" si="10"/>
        <v>155.47</v>
      </c>
      <c r="F34" s="157">
        <f t="shared" si="11"/>
        <v>129.88999999999999</v>
      </c>
      <c r="G34" s="157">
        <f t="shared" si="12"/>
        <v>2</v>
      </c>
      <c r="H34" s="157">
        <f t="shared" si="13"/>
        <v>2</v>
      </c>
      <c r="I34" s="161">
        <v>11</v>
      </c>
      <c r="J34" s="158">
        <v>14</v>
      </c>
      <c r="K34" s="158">
        <v>2</v>
      </c>
      <c r="L34" s="158"/>
      <c r="M34" s="162"/>
      <c r="N34" s="161">
        <v>112</v>
      </c>
      <c r="O34" s="158">
        <v>91</v>
      </c>
      <c r="P34" s="158"/>
      <c r="Q34" s="158"/>
      <c r="R34" s="162"/>
      <c r="S34" s="161">
        <v>3</v>
      </c>
      <c r="T34" s="158">
        <v>3</v>
      </c>
      <c r="U34" s="158"/>
      <c r="V34" s="158"/>
      <c r="W34" s="162"/>
      <c r="X34" s="161">
        <v>12</v>
      </c>
      <c r="Y34" s="158">
        <v>2</v>
      </c>
      <c r="Z34" s="158"/>
      <c r="AA34" s="158">
        <v>1</v>
      </c>
      <c r="AB34" s="162"/>
      <c r="AC34" s="161">
        <v>13</v>
      </c>
      <c r="AD34" s="158">
        <v>13</v>
      </c>
      <c r="AE34" s="158"/>
      <c r="AF34" s="158"/>
      <c r="AG34" s="162"/>
      <c r="AH34" s="161">
        <v>0.47</v>
      </c>
      <c r="AI34" s="158">
        <f>0.64+0.25</f>
        <v>0.89</v>
      </c>
      <c r="AJ34" s="158"/>
      <c r="AK34" s="158"/>
      <c r="AL34" s="162"/>
      <c r="AM34" s="175"/>
      <c r="AN34" s="176"/>
      <c r="AO34" s="176"/>
      <c r="AP34" s="176"/>
      <c r="AQ34" s="299"/>
      <c r="AR34" s="175"/>
      <c r="AS34" s="176"/>
      <c r="AT34" s="176"/>
      <c r="AU34" s="176">
        <v>1</v>
      </c>
      <c r="AV34" s="299"/>
      <c r="AW34" s="161">
        <v>4</v>
      </c>
      <c r="AX34" s="158">
        <v>6</v>
      </c>
      <c r="AY34" s="158"/>
      <c r="AZ34" s="158"/>
      <c r="BA34" s="162"/>
      <c r="BB34" s="175"/>
      <c r="BC34" s="176"/>
      <c r="BD34" s="176"/>
      <c r="BE34" s="176"/>
      <c r="BF34" s="299"/>
    </row>
    <row r="35" spans="2:58" x14ac:dyDescent="0.25">
      <c r="B35" s="227" t="s">
        <v>27</v>
      </c>
      <c r="C35" s="228">
        <f>C34+1</f>
        <v>45735</v>
      </c>
      <c r="D35" s="224">
        <f t="shared" si="9"/>
        <v>0.75244743338724784</v>
      </c>
      <c r="E35" s="157">
        <f t="shared" si="10"/>
        <v>117.47</v>
      </c>
      <c r="F35" s="157">
        <f t="shared" si="11"/>
        <v>88.39</v>
      </c>
      <c r="G35" s="157">
        <f t="shared" si="12"/>
        <v>6</v>
      </c>
      <c r="H35" s="157">
        <f t="shared" si="13"/>
        <v>7</v>
      </c>
      <c r="I35" s="161">
        <v>11</v>
      </c>
      <c r="J35" s="158">
        <v>11</v>
      </c>
      <c r="K35" s="158">
        <v>2</v>
      </c>
      <c r="L35" s="158">
        <v>2</v>
      </c>
      <c r="M35" s="162"/>
      <c r="N35" s="161">
        <v>50</v>
      </c>
      <c r="O35" s="158">
        <v>39</v>
      </c>
      <c r="P35" s="158">
        <v>4</v>
      </c>
      <c r="Q35" s="158">
        <v>4</v>
      </c>
      <c r="R35" s="162"/>
      <c r="S35" s="161">
        <v>2</v>
      </c>
      <c r="T35" s="158">
        <v>2</v>
      </c>
      <c r="U35" s="158"/>
      <c r="V35" s="158"/>
      <c r="W35" s="162"/>
      <c r="X35" s="161">
        <v>20</v>
      </c>
      <c r="Y35" s="158"/>
      <c r="Z35" s="158"/>
      <c r="AA35" s="158">
        <v>1</v>
      </c>
      <c r="AB35" s="162"/>
      <c r="AC35" s="161">
        <v>32</v>
      </c>
      <c r="AD35" s="158">
        <v>32</v>
      </c>
      <c r="AE35" s="158"/>
      <c r="AF35" s="158"/>
      <c r="AG35" s="162"/>
      <c r="AH35" s="161">
        <v>0.47</v>
      </c>
      <c r="AI35" s="158">
        <f>0.14+0.25</f>
        <v>0.39</v>
      </c>
      <c r="AJ35" s="158"/>
      <c r="AK35" s="158"/>
      <c r="AL35" s="162"/>
      <c r="AM35" s="175"/>
      <c r="AN35" s="176"/>
      <c r="AO35" s="176"/>
      <c r="AP35" s="176"/>
      <c r="AQ35" s="299"/>
      <c r="AR35" s="175"/>
      <c r="AS35" s="176"/>
      <c r="AT35" s="176"/>
      <c r="AU35" s="176"/>
      <c r="AV35" s="299"/>
      <c r="AW35" s="161">
        <v>2</v>
      </c>
      <c r="AX35" s="158">
        <v>4</v>
      </c>
      <c r="AY35" s="158"/>
      <c r="AZ35" s="158"/>
      <c r="BA35" s="162"/>
      <c r="BB35" s="175"/>
      <c r="BC35" s="176"/>
      <c r="BD35" s="176"/>
      <c r="BE35" s="176"/>
      <c r="BF35" s="299"/>
    </row>
    <row r="36" spans="2:58" x14ac:dyDescent="0.25">
      <c r="B36" s="227" t="s">
        <v>26</v>
      </c>
      <c r="C36" s="228">
        <f>C35+1</f>
        <v>45736</v>
      </c>
      <c r="D36" s="224">
        <f t="shared" si="9"/>
        <v>0.85024665257223397</v>
      </c>
      <c r="E36" s="157">
        <f t="shared" si="10"/>
        <v>85.14</v>
      </c>
      <c r="F36" s="157">
        <f t="shared" si="11"/>
        <v>72.39</v>
      </c>
      <c r="G36" s="157">
        <f t="shared" si="12"/>
        <v>14</v>
      </c>
      <c r="H36" s="157">
        <f t="shared" si="13"/>
        <v>15</v>
      </c>
      <c r="I36" s="161">
        <v>11</v>
      </c>
      <c r="J36" s="158">
        <v>11</v>
      </c>
      <c r="K36" s="158">
        <v>12</v>
      </c>
      <c r="L36" s="158">
        <v>12</v>
      </c>
      <c r="M36" s="162"/>
      <c r="N36" s="161">
        <v>28</v>
      </c>
      <c r="O36" s="158">
        <v>27</v>
      </c>
      <c r="P36" s="158">
        <v>1</v>
      </c>
      <c r="Q36" s="158">
        <v>1</v>
      </c>
      <c r="R36" s="162"/>
      <c r="S36" s="161">
        <v>2</v>
      </c>
      <c r="T36" s="158">
        <v>5</v>
      </c>
      <c r="U36" s="158"/>
      <c r="V36" s="158"/>
      <c r="W36" s="162"/>
      <c r="X36" s="161">
        <v>16</v>
      </c>
      <c r="Y36" s="158"/>
      <c r="Z36" s="158">
        <v>1</v>
      </c>
      <c r="AA36" s="158">
        <v>1</v>
      </c>
      <c r="AB36" s="162"/>
      <c r="AC36" s="161">
        <v>23</v>
      </c>
      <c r="AD36" s="158">
        <v>23</v>
      </c>
      <c r="AE36" s="158"/>
      <c r="AF36" s="158">
        <v>1</v>
      </c>
      <c r="AG36" s="162"/>
      <c r="AH36" s="161">
        <v>1.1399999999999999</v>
      </c>
      <c r="AI36" s="158">
        <f>0.14+0.25</f>
        <v>0.39</v>
      </c>
      <c r="AJ36" s="158"/>
      <c r="AK36" s="158"/>
      <c r="AL36" s="162"/>
      <c r="AM36" s="175"/>
      <c r="AN36" s="176"/>
      <c r="AO36" s="176"/>
      <c r="AP36" s="176"/>
      <c r="AQ36" s="299"/>
      <c r="AR36" s="175"/>
      <c r="AS36" s="176"/>
      <c r="AT36" s="176"/>
      <c r="AU36" s="176"/>
      <c r="AV36" s="299"/>
      <c r="AW36" s="161">
        <v>4</v>
      </c>
      <c r="AX36" s="158">
        <v>6</v>
      </c>
      <c r="AY36" s="158"/>
      <c r="AZ36" s="158"/>
      <c r="BA36" s="162"/>
      <c r="BB36" s="175"/>
      <c r="BC36" s="176"/>
      <c r="BD36" s="176"/>
      <c r="BE36" s="176"/>
      <c r="BF36" s="299"/>
    </row>
    <row r="37" spans="2:58" x14ac:dyDescent="0.25">
      <c r="B37" s="227" t="s">
        <v>32</v>
      </c>
      <c r="C37" s="228">
        <f>C36+1</f>
        <v>45737</v>
      </c>
      <c r="D37" s="224">
        <f t="shared" si="9"/>
        <v>0.73140842706060094</v>
      </c>
      <c r="E37" s="157">
        <f t="shared" si="10"/>
        <v>119.14</v>
      </c>
      <c r="F37" s="157">
        <f t="shared" si="11"/>
        <v>87.14</v>
      </c>
      <c r="G37" s="157">
        <f t="shared" si="12"/>
        <v>3</v>
      </c>
      <c r="H37" s="157">
        <f t="shared" si="13"/>
        <v>1</v>
      </c>
      <c r="I37" s="161">
        <v>11</v>
      </c>
      <c r="J37" s="158">
        <v>11</v>
      </c>
      <c r="K37" s="158"/>
      <c r="L37" s="158"/>
      <c r="M37" s="162"/>
      <c r="N37" s="161">
        <v>72</v>
      </c>
      <c r="O37" s="158">
        <v>51</v>
      </c>
      <c r="P37" s="158">
        <v>1</v>
      </c>
      <c r="Q37" s="158">
        <v>1</v>
      </c>
      <c r="R37" s="162"/>
      <c r="S37" s="161">
        <v>3</v>
      </c>
      <c r="T37" s="158">
        <v>0</v>
      </c>
      <c r="U37" s="158"/>
      <c r="V37" s="158"/>
      <c r="W37" s="162"/>
      <c r="X37" s="161">
        <v>10</v>
      </c>
      <c r="Y37" s="158"/>
      <c r="Z37" s="158">
        <v>1</v>
      </c>
      <c r="AA37" s="158">
        <v>0</v>
      </c>
      <c r="AB37" s="162"/>
      <c r="AC37" s="161">
        <v>19</v>
      </c>
      <c r="AD37" s="158">
        <v>19</v>
      </c>
      <c r="AE37" s="158"/>
      <c r="AF37" s="158"/>
      <c r="AG37" s="162"/>
      <c r="AH37" s="161">
        <v>0.14000000000000001</v>
      </c>
      <c r="AI37" s="158">
        <v>0.14000000000000001</v>
      </c>
      <c r="AJ37" s="158"/>
      <c r="AK37" s="158"/>
      <c r="AL37" s="162"/>
      <c r="AM37" s="175"/>
      <c r="AN37" s="176"/>
      <c r="AO37" s="176"/>
      <c r="AP37" s="176"/>
      <c r="AQ37" s="299"/>
      <c r="AR37" s="175"/>
      <c r="AS37" s="176"/>
      <c r="AT37" s="176"/>
      <c r="AU37" s="176"/>
      <c r="AV37" s="299"/>
      <c r="AW37" s="161">
        <v>4</v>
      </c>
      <c r="AX37" s="158">
        <v>6</v>
      </c>
      <c r="AY37" s="158">
        <v>1</v>
      </c>
      <c r="AZ37" s="158">
        <v>1</v>
      </c>
      <c r="BA37" s="162"/>
      <c r="BB37" s="175"/>
      <c r="BC37" s="176"/>
      <c r="BD37" s="176"/>
      <c r="BE37" s="176"/>
      <c r="BF37" s="299"/>
    </row>
    <row r="38" spans="2:58" x14ac:dyDescent="0.25">
      <c r="B38" s="276" t="s">
        <v>33</v>
      </c>
      <c r="C38" s="276"/>
      <c r="D38" s="225">
        <f t="shared" ref="D38" si="21">IF(E38=0,0,F38/E38)</f>
        <v>0.85208926497956061</v>
      </c>
      <c r="E38" s="170">
        <f t="shared" ref="E38:L38" si="22">SUM(E33:E37)</f>
        <v>628.68999999999994</v>
      </c>
      <c r="F38" s="170">
        <f t="shared" si="22"/>
        <v>535.69999999999993</v>
      </c>
      <c r="G38" s="170">
        <f t="shared" si="22"/>
        <v>26</v>
      </c>
      <c r="H38" s="170">
        <f t="shared" si="22"/>
        <v>29</v>
      </c>
      <c r="I38" s="172">
        <f t="shared" si="22"/>
        <v>55</v>
      </c>
      <c r="J38" s="170">
        <f t="shared" si="22"/>
        <v>55</v>
      </c>
      <c r="K38" s="170">
        <f t="shared" si="22"/>
        <v>16</v>
      </c>
      <c r="L38" s="170">
        <f t="shared" si="22"/>
        <v>14</v>
      </c>
      <c r="M38" s="171"/>
      <c r="N38" s="172">
        <f>SUM(N33:N37)</f>
        <v>362</v>
      </c>
      <c r="O38" s="170">
        <f>SUM(O33:O37)</f>
        <v>315</v>
      </c>
      <c r="P38" s="170">
        <f>SUM(P33:P37)</f>
        <v>6</v>
      </c>
      <c r="Q38" s="170">
        <f>SUM(Q33:Q37)</f>
        <v>6</v>
      </c>
      <c r="R38" s="171"/>
      <c r="S38" s="172">
        <f>SUM(S33:S37)</f>
        <v>13</v>
      </c>
      <c r="T38" s="170">
        <f>SUM(T33:T37)</f>
        <v>13</v>
      </c>
      <c r="U38" s="170">
        <f>SUM(U33:U37)</f>
        <v>0</v>
      </c>
      <c r="V38" s="170">
        <f>SUM(V33:V37)</f>
        <v>0</v>
      </c>
      <c r="W38" s="171"/>
      <c r="X38" s="172">
        <f>SUM(X33:X37)</f>
        <v>78</v>
      </c>
      <c r="Y38" s="170">
        <f>SUM(Y33:Y37)</f>
        <v>22</v>
      </c>
      <c r="Z38" s="170">
        <f>SUM(Z33:Z37)</f>
        <v>3</v>
      </c>
      <c r="AA38" s="170">
        <f>SUM(AA33:AA37)</f>
        <v>4</v>
      </c>
      <c r="AB38" s="171"/>
      <c r="AC38" s="172">
        <f>SUM(AC33:AC37)</f>
        <v>99</v>
      </c>
      <c r="AD38" s="170">
        <f>SUM(AD33:AD37)</f>
        <v>99</v>
      </c>
      <c r="AE38" s="170">
        <f>SUM(AE33:AE37)</f>
        <v>0</v>
      </c>
      <c r="AF38" s="170">
        <f>SUM(AF33:AF37)</f>
        <v>2</v>
      </c>
      <c r="AG38" s="182"/>
      <c r="AH38" s="172">
        <f>SUM(AH33:AH37)</f>
        <v>3.69</v>
      </c>
      <c r="AI38" s="170">
        <f>SUM(AI33:AI37)</f>
        <v>2.7</v>
      </c>
      <c r="AJ38" s="170">
        <f>SUM(AJ33:AJ37)</f>
        <v>0</v>
      </c>
      <c r="AK38" s="170">
        <f>SUM(AK33:AK37)</f>
        <v>0</v>
      </c>
      <c r="AL38" s="171"/>
      <c r="AM38" s="175"/>
      <c r="AN38" s="176"/>
      <c r="AO38" s="176"/>
      <c r="AP38" s="176"/>
      <c r="AQ38" s="299"/>
      <c r="AR38" s="175"/>
      <c r="AS38" s="176"/>
      <c r="AT38" s="176"/>
      <c r="AU38" s="176"/>
      <c r="AV38" s="299"/>
      <c r="AW38" s="172">
        <f>SUM(AW33:AW37)</f>
        <v>18</v>
      </c>
      <c r="AX38" s="170">
        <f>SUM(AX33:AX37)</f>
        <v>29</v>
      </c>
      <c r="AY38" s="170">
        <f>SUM(AY33:AY37)</f>
        <v>1</v>
      </c>
      <c r="AZ38" s="170">
        <f>SUM(AZ33:AZ37)</f>
        <v>1</v>
      </c>
      <c r="BA38" s="171"/>
      <c r="BB38" s="175"/>
      <c r="BC38" s="176"/>
      <c r="BD38" s="176"/>
      <c r="BE38" s="176"/>
      <c r="BF38" s="299"/>
    </row>
    <row r="39" spans="2:58" x14ac:dyDescent="0.25">
      <c r="B39" s="227" t="s">
        <v>25</v>
      </c>
      <c r="C39" s="228">
        <f>C37+3</f>
        <v>45740</v>
      </c>
      <c r="D39" s="224">
        <f t="shared" si="9"/>
        <v>1.5964912280701755</v>
      </c>
      <c r="E39" s="157">
        <f t="shared" si="10"/>
        <v>57</v>
      </c>
      <c r="F39" s="157">
        <f t="shared" si="11"/>
        <v>91</v>
      </c>
      <c r="G39" s="157">
        <f t="shared" si="12"/>
        <v>9</v>
      </c>
      <c r="H39" s="157">
        <f t="shared" si="13"/>
        <v>5</v>
      </c>
      <c r="I39" s="161">
        <v>11</v>
      </c>
      <c r="J39" s="158">
        <v>11</v>
      </c>
      <c r="K39" s="158">
        <v>3</v>
      </c>
      <c r="L39" s="158">
        <v>3</v>
      </c>
      <c r="M39" s="162"/>
      <c r="N39" s="161">
        <v>28</v>
      </c>
      <c r="O39" s="158">
        <v>57</v>
      </c>
      <c r="P39" s="158"/>
      <c r="Q39" s="158"/>
      <c r="R39" s="162"/>
      <c r="S39" s="161">
        <v>3</v>
      </c>
      <c r="T39" s="158">
        <v>3</v>
      </c>
      <c r="U39" s="158"/>
      <c r="V39" s="158"/>
      <c r="W39" s="166"/>
      <c r="X39" s="176"/>
      <c r="Y39" s="176"/>
      <c r="Z39" s="176"/>
      <c r="AA39" s="158">
        <v>2</v>
      </c>
      <c r="AB39" s="176"/>
      <c r="AC39" s="161">
        <v>10</v>
      </c>
      <c r="AD39" s="158">
        <v>14</v>
      </c>
      <c r="AE39" s="158">
        <v>6</v>
      </c>
      <c r="AF39" s="158"/>
      <c r="AG39" s="162"/>
      <c r="AH39" s="161">
        <v>1</v>
      </c>
      <c r="AI39" s="158">
        <v>2</v>
      </c>
      <c r="AJ39" s="158"/>
      <c r="AK39" s="158"/>
      <c r="AL39" s="162"/>
      <c r="AM39" s="175"/>
      <c r="AN39" s="176"/>
      <c r="AO39" s="176"/>
      <c r="AP39" s="176"/>
      <c r="AQ39" s="299"/>
      <c r="AR39" s="175"/>
      <c r="AS39" s="176"/>
      <c r="AT39" s="176"/>
      <c r="AU39" s="176"/>
      <c r="AV39" s="299"/>
      <c r="AW39" s="161">
        <v>4</v>
      </c>
      <c r="AX39" s="158">
        <v>4</v>
      </c>
      <c r="AY39" s="158"/>
      <c r="AZ39" s="158"/>
      <c r="BA39" s="162"/>
      <c r="BB39" s="175"/>
      <c r="BC39" s="176"/>
      <c r="BD39" s="176"/>
      <c r="BE39" s="176"/>
      <c r="BF39" s="299"/>
    </row>
    <row r="40" spans="2:58" x14ac:dyDescent="0.25">
      <c r="B40" s="227" t="s">
        <v>26</v>
      </c>
      <c r="C40" s="228">
        <f>C39+1</f>
        <v>45741</v>
      </c>
      <c r="D40" s="224">
        <f t="shared" si="9"/>
        <v>1.0334928229665072</v>
      </c>
      <c r="E40" s="157">
        <f t="shared" si="10"/>
        <v>52.25</v>
      </c>
      <c r="F40" s="157">
        <f t="shared" si="11"/>
        <v>54</v>
      </c>
      <c r="G40" s="157">
        <f t="shared" si="12"/>
        <v>8</v>
      </c>
      <c r="H40" s="157">
        <f t="shared" si="13"/>
        <v>10</v>
      </c>
      <c r="I40" s="161">
        <v>11</v>
      </c>
      <c r="J40" s="158">
        <v>44</v>
      </c>
      <c r="K40" s="158">
        <v>7</v>
      </c>
      <c r="L40" s="158">
        <v>7</v>
      </c>
      <c r="M40" s="162"/>
      <c r="N40" s="161">
        <v>31</v>
      </c>
      <c r="O40" s="158">
        <v>0</v>
      </c>
      <c r="P40" s="158"/>
      <c r="Q40" s="158"/>
      <c r="R40" s="162"/>
      <c r="S40" s="161">
        <v>3</v>
      </c>
      <c r="T40" s="158">
        <v>3</v>
      </c>
      <c r="U40" s="158"/>
      <c r="V40" s="158"/>
      <c r="W40" s="166"/>
      <c r="X40" s="176"/>
      <c r="Y40" s="176"/>
      <c r="Z40" s="176"/>
      <c r="AA40" s="158">
        <v>1</v>
      </c>
      <c r="AB40" s="176"/>
      <c r="AC40" s="161">
        <v>3</v>
      </c>
      <c r="AD40" s="158"/>
      <c r="AE40" s="158">
        <v>1</v>
      </c>
      <c r="AF40" s="158"/>
      <c r="AG40" s="162"/>
      <c r="AH40" s="161">
        <v>0.25</v>
      </c>
      <c r="AI40" s="158">
        <v>0</v>
      </c>
      <c r="AJ40" s="158"/>
      <c r="AK40" s="158">
        <v>2</v>
      </c>
      <c r="AL40" s="162"/>
      <c r="AM40" s="175"/>
      <c r="AN40" s="176"/>
      <c r="AO40" s="176"/>
      <c r="AP40" s="176"/>
      <c r="AQ40" s="299"/>
      <c r="AR40" s="175"/>
      <c r="AS40" s="176"/>
      <c r="AT40" s="176"/>
      <c r="AU40" s="176"/>
      <c r="AV40" s="299"/>
      <c r="AW40" s="161">
        <v>4</v>
      </c>
      <c r="AX40" s="158">
        <v>7</v>
      </c>
      <c r="AY40" s="158"/>
      <c r="AZ40" s="158"/>
      <c r="BA40" s="162"/>
      <c r="BB40" s="175"/>
      <c r="BC40" s="176"/>
      <c r="BD40" s="176"/>
      <c r="BE40" s="176"/>
      <c r="BF40" s="299"/>
    </row>
    <row r="41" spans="2:58" x14ac:dyDescent="0.25">
      <c r="B41" s="227" t="s">
        <v>27</v>
      </c>
      <c r="C41" s="228">
        <f>C40+1</f>
        <v>45742</v>
      </c>
      <c r="D41" s="224">
        <f t="shared" si="9"/>
        <v>0.47457627118644069</v>
      </c>
      <c r="E41" s="157">
        <f t="shared" si="10"/>
        <v>44.25</v>
      </c>
      <c r="F41" s="157">
        <f t="shared" si="11"/>
        <v>21</v>
      </c>
      <c r="G41" s="157">
        <f t="shared" si="12"/>
        <v>6</v>
      </c>
      <c r="H41" s="157">
        <f t="shared" si="13"/>
        <v>12</v>
      </c>
      <c r="I41" s="161">
        <v>11</v>
      </c>
      <c r="J41" s="158"/>
      <c r="K41" s="158">
        <v>1</v>
      </c>
      <c r="L41" s="158">
        <v>1</v>
      </c>
      <c r="M41" s="162"/>
      <c r="N41" s="161">
        <v>25</v>
      </c>
      <c r="O41" s="158">
        <v>16</v>
      </c>
      <c r="P41" s="158">
        <v>2</v>
      </c>
      <c r="Q41" s="158">
        <v>2</v>
      </c>
      <c r="R41" s="162"/>
      <c r="S41" s="161">
        <v>5</v>
      </c>
      <c r="T41" s="158">
        <v>5</v>
      </c>
      <c r="U41" s="158">
        <v>1</v>
      </c>
      <c r="V41" s="158">
        <v>1</v>
      </c>
      <c r="W41" s="166"/>
      <c r="X41" s="176"/>
      <c r="Y41" s="176"/>
      <c r="Z41" s="176"/>
      <c r="AA41" s="176"/>
      <c r="AB41" s="176"/>
      <c r="AC41" s="161">
        <v>1</v>
      </c>
      <c r="AD41" s="158"/>
      <c r="AE41" s="158">
        <v>1</v>
      </c>
      <c r="AF41" s="158">
        <v>2</v>
      </c>
      <c r="AG41" s="162"/>
      <c r="AH41" s="161">
        <v>0.25</v>
      </c>
      <c r="AI41" s="158">
        <v>0</v>
      </c>
      <c r="AJ41" s="158">
        <v>1</v>
      </c>
      <c r="AK41" s="158">
        <v>6</v>
      </c>
      <c r="AL41" s="162"/>
      <c r="AM41" s="175"/>
      <c r="AN41" s="176"/>
      <c r="AO41" s="176"/>
      <c r="AP41" s="176"/>
      <c r="AQ41" s="299"/>
      <c r="AR41" s="175"/>
      <c r="AS41" s="176"/>
      <c r="AT41" s="176"/>
      <c r="AU41" s="176"/>
      <c r="AV41" s="299"/>
      <c r="AW41" s="161">
        <v>2</v>
      </c>
      <c r="AX41" s="158"/>
      <c r="AY41" s="158"/>
      <c r="AZ41" s="158">
        <v>1</v>
      </c>
      <c r="BA41" s="162"/>
      <c r="BB41" s="175"/>
      <c r="BC41" s="176"/>
      <c r="BD41" s="176"/>
      <c r="BE41" s="176"/>
      <c r="BF41" s="299"/>
    </row>
    <row r="42" spans="2:58" x14ac:dyDescent="0.25">
      <c r="B42" s="227" t="s">
        <v>26</v>
      </c>
      <c r="C42" s="228">
        <f>C41+1</f>
        <v>45743</v>
      </c>
      <c r="D42" s="224">
        <f t="shared" si="9"/>
        <v>0.12307692307692308</v>
      </c>
      <c r="E42" s="157">
        <f t="shared" si="10"/>
        <v>16.25</v>
      </c>
      <c r="F42" s="157">
        <f t="shared" si="11"/>
        <v>2</v>
      </c>
      <c r="G42" s="157">
        <f t="shared" si="12"/>
        <v>6</v>
      </c>
      <c r="H42" s="157">
        <f t="shared" si="13"/>
        <v>1</v>
      </c>
      <c r="I42" s="161">
        <v>11</v>
      </c>
      <c r="J42" s="158"/>
      <c r="K42" s="158">
        <f>1+1+1+1+1</f>
        <v>5</v>
      </c>
      <c r="L42" s="158">
        <v>1</v>
      </c>
      <c r="M42" s="162"/>
      <c r="N42" s="161">
        <v>0</v>
      </c>
      <c r="O42" s="158">
        <v>0</v>
      </c>
      <c r="P42" s="158"/>
      <c r="Q42" s="158"/>
      <c r="R42" s="269"/>
      <c r="S42" s="161">
        <v>3</v>
      </c>
      <c r="T42" s="158">
        <v>2</v>
      </c>
      <c r="U42" s="158"/>
      <c r="V42" s="158"/>
      <c r="W42" s="162"/>
      <c r="X42" s="176"/>
      <c r="Y42" s="176"/>
      <c r="Z42" s="176"/>
      <c r="AA42" s="176"/>
      <c r="AB42" s="176"/>
      <c r="AC42" s="161"/>
      <c r="AD42" s="158"/>
      <c r="AE42" s="158"/>
      <c r="AF42" s="158"/>
      <c r="AG42" s="162"/>
      <c r="AH42" s="161">
        <v>0.25</v>
      </c>
      <c r="AI42" s="158">
        <v>0</v>
      </c>
      <c r="AJ42" s="158">
        <v>1</v>
      </c>
      <c r="AK42" s="158">
        <v>0</v>
      </c>
      <c r="AL42" s="162"/>
      <c r="AM42" s="175"/>
      <c r="AN42" s="176"/>
      <c r="AO42" s="176"/>
      <c r="AP42" s="176"/>
      <c r="AQ42" s="299"/>
      <c r="AR42" s="175"/>
      <c r="AS42" s="176"/>
      <c r="AT42" s="176"/>
      <c r="AU42" s="176"/>
      <c r="AV42" s="299"/>
      <c r="AW42" s="161">
        <v>2</v>
      </c>
      <c r="AX42" s="158"/>
      <c r="AY42" s="158"/>
      <c r="AZ42" s="158"/>
      <c r="BA42" s="162"/>
      <c r="BB42" s="175"/>
      <c r="BC42" s="176"/>
      <c r="BD42" s="176"/>
      <c r="BE42" s="176"/>
      <c r="BF42" s="299"/>
    </row>
    <row r="43" spans="2:58" x14ac:dyDescent="0.25">
      <c r="B43" s="227" t="s">
        <v>32</v>
      </c>
      <c r="C43" s="228">
        <f>C42+1</f>
        <v>45744</v>
      </c>
      <c r="D43" s="224">
        <f t="shared" si="9"/>
        <v>0.21238938053097345</v>
      </c>
      <c r="E43" s="157">
        <f t="shared" si="10"/>
        <v>28.25</v>
      </c>
      <c r="F43" s="157">
        <f t="shared" si="11"/>
        <v>6</v>
      </c>
      <c r="G43" s="157">
        <f t="shared" si="12"/>
        <v>4</v>
      </c>
      <c r="H43" s="157">
        <f t="shared" si="13"/>
        <v>7</v>
      </c>
      <c r="I43" s="161">
        <v>11</v>
      </c>
      <c r="J43" s="158"/>
      <c r="K43" s="158"/>
      <c r="L43" s="158">
        <v>4</v>
      </c>
      <c r="M43" s="162"/>
      <c r="N43" s="161">
        <v>0</v>
      </c>
      <c r="O43" s="158">
        <v>0</v>
      </c>
      <c r="P43" s="158">
        <v>2</v>
      </c>
      <c r="Q43" s="158">
        <v>2</v>
      </c>
      <c r="R43" s="162"/>
      <c r="S43" s="161">
        <v>5</v>
      </c>
      <c r="T43" s="158">
        <v>6</v>
      </c>
      <c r="U43" s="158">
        <v>1</v>
      </c>
      <c r="V43" s="158">
        <v>0</v>
      </c>
      <c r="W43" s="162"/>
      <c r="X43" s="176"/>
      <c r="Y43" s="176"/>
      <c r="Z43" s="176"/>
      <c r="AA43" s="176"/>
      <c r="AB43" s="176"/>
      <c r="AC43" s="161"/>
      <c r="AD43" s="158"/>
      <c r="AE43" s="158"/>
      <c r="AF43" s="158"/>
      <c r="AG43" s="162"/>
      <c r="AH43" s="161">
        <v>1.25</v>
      </c>
      <c r="AI43" s="158">
        <v>0</v>
      </c>
      <c r="AJ43" s="158">
        <v>1</v>
      </c>
      <c r="AK43" s="158">
        <v>1</v>
      </c>
      <c r="AL43" s="162"/>
      <c r="AM43" s="175"/>
      <c r="AN43" s="176"/>
      <c r="AO43" s="176"/>
      <c r="AP43" s="176"/>
      <c r="AQ43" s="300"/>
      <c r="AR43" s="175"/>
      <c r="AS43" s="176"/>
      <c r="AT43" s="176"/>
      <c r="AU43" s="176"/>
      <c r="AV43" s="300"/>
      <c r="AW43" s="161">
        <v>11</v>
      </c>
      <c r="AX43" s="158"/>
      <c r="AY43" s="158"/>
      <c r="AZ43" s="158"/>
      <c r="BA43" s="162"/>
      <c r="BB43" s="175"/>
      <c r="BC43" s="176"/>
      <c r="BD43" s="176"/>
      <c r="BE43" s="176"/>
      <c r="BF43" s="300"/>
    </row>
    <row r="44" spans="2:58" x14ac:dyDescent="0.25">
      <c r="B44" s="276" t="s">
        <v>33</v>
      </c>
      <c r="C44" s="276"/>
      <c r="D44" s="225">
        <f t="shared" ref="D44" si="23">IF(E44=0,0,F44/E44)</f>
        <v>0.87878787878787878</v>
      </c>
      <c r="E44" s="170">
        <f t="shared" ref="E44:L44" si="24">SUM(E39:E43)</f>
        <v>198</v>
      </c>
      <c r="F44" s="170">
        <f t="shared" si="24"/>
        <v>174</v>
      </c>
      <c r="G44" s="170">
        <f t="shared" si="24"/>
        <v>33</v>
      </c>
      <c r="H44" s="170">
        <f t="shared" si="24"/>
        <v>35</v>
      </c>
      <c r="I44" s="172">
        <f t="shared" si="24"/>
        <v>55</v>
      </c>
      <c r="J44" s="170">
        <f t="shared" si="24"/>
        <v>55</v>
      </c>
      <c r="K44" s="170">
        <f t="shared" si="24"/>
        <v>16</v>
      </c>
      <c r="L44" s="170">
        <f t="shared" si="24"/>
        <v>16</v>
      </c>
      <c r="M44" s="171"/>
      <c r="N44" s="172">
        <f>SUM(N39:N43)</f>
        <v>84</v>
      </c>
      <c r="O44" s="170">
        <f>SUM(O39:O43)</f>
        <v>73</v>
      </c>
      <c r="P44" s="170">
        <f>SUM(P39:P43)</f>
        <v>4</v>
      </c>
      <c r="Q44" s="170">
        <f>SUM(Q39:Q43)</f>
        <v>4</v>
      </c>
      <c r="R44" s="171"/>
      <c r="S44" s="172">
        <f>SUM(S39:S43)</f>
        <v>19</v>
      </c>
      <c r="T44" s="170">
        <f>SUM(T39:T43)</f>
        <v>19</v>
      </c>
      <c r="U44" s="170">
        <f>SUM(U39:U43)</f>
        <v>2</v>
      </c>
      <c r="V44" s="170">
        <f>SUM(V39:V43)</f>
        <v>1</v>
      </c>
      <c r="W44" s="171"/>
      <c r="X44" s="170">
        <f>SUM(X39:X43)</f>
        <v>0</v>
      </c>
      <c r="Y44" s="170">
        <f>SUM(Y39:Y43)</f>
        <v>0</v>
      </c>
      <c r="Z44" s="170">
        <f>SUM(Z39:Z43)</f>
        <v>0</v>
      </c>
      <c r="AA44" s="170">
        <f>SUM(AA39:AA43)</f>
        <v>3</v>
      </c>
      <c r="AB44" s="170"/>
      <c r="AC44" s="172">
        <f>SUM(AC39:AC43)</f>
        <v>14</v>
      </c>
      <c r="AD44" s="170">
        <f>SUM(AD39:AD43)</f>
        <v>14</v>
      </c>
      <c r="AE44" s="170">
        <f>SUM(AE39:AE43)</f>
        <v>8</v>
      </c>
      <c r="AF44" s="170">
        <f>SUM(AF39:AF43)</f>
        <v>2</v>
      </c>
      <c r="AG44" s="171"/>
      <c r="AH44" s="172">
        <f>SUM(AH39:AH43)</f>
        <v>3</v>
      </c>
      <c r="AI44" s="170">
        <f>SUM(AI39:AI43)</f>
        <v>2</v>
      </c>
      <c r="AJ44" s="170">
        <f>SUM(AJ39:AJ43)</f>
        <v>3</v>
      </c>
      <c r="AK44" s="170">
        <f>SUM(AK39:AK43)</f>
        <v>9</v>
      </c>
      <c r="AL44" s="171"/>
      <c r="AM44" s="172">
        <f>SUM(AM39:AM43)</f>
        <v>0</v>
      </c>
      <c r="AN44" s="170">
        <f>SUM(AN39:AN43)</f>
        <v>0</v>
      </c>
      <c r="AO44" s="170">
        <f>SUM(AO39:AO43)</f>
        <v>0</v>
      </c>
      <c r="AP44" s="170">
        <f>SUM(AP39:AP43)</f>
        <v>0</v>
      </c>
      <c r="AQ44" s="171"/>
      <c r="AR44" s="172">
        <f>SUM(AR39:AR43)</f>
        <v>0</v>
      </c>
      <c r="AS44" s="170">
        <f>SUM(AS39:AS43)</f>
        <v>0</v>
      </c>
      <c r="AT44" s="170">
        <f>SUM(AT39:AT43)</f>
        <v>0</v>
      </c>
      <c r="AU44" s="170">
        <f>SUM(AU39:AU43)</f>
        <v>0</v>
      </c>
      <c r="AV44" s="171"/>
      <c r="AW44" s="172">
        <f>SUM(AW39:AW43)</f>
        <v>23</v>
      </c>
      <c r="AX44" s="170">
        <f>SUM(AX39:AX43)</f>
        <v>11</v>
      </c>
      <c r="AY44" s="170">
        <f>SUM(AY39:AY43)</f>
        <v>0</v>
      </c>
      <c r="AZ44" s="170">
        <f>SUM(AZ39:AZ43)</f>
        <v>1</v>
      </c>
      <c r="BA44" s="171"/>
      <c r="BB44" s="172">
        <f>SUM(BB39:BB43)</f>
        <v>0</v>
      </c>
      <c r="BC44" s="170">
        <f>SUM(BC39:BC43)</f>
        <v>0</v>
      </c>
      <c r="BD44" s="170">
        <f>SUM(BD39:BD43)</f>
        <v>0</v>
      </c>
      <c r="BE44" s="170">
        <f>SUM(BE39:BE43)</f>
        <v>0</v>
      </c>
      <c r="BF44" s="171"/>
    </row>
    <row r="45" spans="2:58" ht="14.45" customHeight="1" x14ac:dyDescent="0.25">
      <c r="B45" s="227" t="s">
        <v>25</v>
      </c>
      <c r="C45" s="228">
        <f>C43+3</f>
        <v>45747</v>
      </c>
      <c r="D45" s="224">
        <f t="shared" si="9"/>
        <v>0</v>
      </c>
      <c r="E45" s="157">
        <f t="shared" si="10"/>
        <v>0</v>
      </c>
      <c r="F45" s="157">
        <f t="shared" si="11"/>
        <v>0</v>
      </c>
      <c r="G45" s="157">
        <f t="shared" si="12"/>
        <v>2</v>
      </c>
      <c r="H45" s="157">
        <f t="shared" si="13"/>
        <v>1</v>
      </c>
      <c r="I45" s="175"/>
      <c r="J45" s="176"/>
      <c r="K45" s="176"/>
      <c r="L45" s="176"/>
      <c r="M45" s="333" t="s">
        <v>49</v>
      </c>
      <c r="N45" s="181"/>
      <c r="O45" s="176"/>
      <c r="P45" s="176"/>
      <c r="Q45" s="176"/>
      <c r="R45" s="333" t="s">
        <v>49</v>
      </c>
      <c r="S45" s="181"/>
      <c r="T45" s="176"/>
      <c r="U45" s="176"/>
      <c r="V45" s="176">
        <v>1</v>
      </c>
      <c r="W45" s="333" t="s">
        <v>49</v>
      </c>
      <c r="X45" s="175"/>
      <c r="Y45" s="176"/>
      <c r="Z45" s="176"/>
      <c r="AA45" s="176"/>
      <c r="AB45" s="333" t="s">
        <v>49</v>
      </c>
      <c r="AC45" s="181"/>
      <c r="AD45" s="176"/>
      <c r="AE45" s="176"/>
      <c r="AF45" s="176"/>
      <c r="AG45" s="333" t="s">
        <v>49</v>
      </c>
      <c r="AH45" s="161"/>
      <c r="AI45" s="158"/>
      <c r="AJ45" s="158">
        <v>2</v>
      </c>
      <c r="AK45" s="158">
        <v>0</v>
      </c>
      <c r="AL45" s="162"/>
      <c r="AM45" s="175"/>
      <c r="AN45" s="176"/>
      <c r="AO45" s="176"/>
      <c r="AP45" s="176"/>
      <c r="AQ45" s="272"/>
      <c r="AR45" s="175"/>
      <c r="AS45" s="176"/>
      <c r="AT45" s="176"/>
      <c r="AU45" s="176"/>
      <c r="AV45" s="272"/>
      <c r="AW45" s="175"/>
      <c r="AX45" s="176"/>
      <c r="AY45" s="176"/>
      <c r="AZ45" s="176"/>
      <c r="BA45" s="333" t="s">
        <v>49</v>
      </c>
      <c r="BB45" s="175"/>
      <c r="BC45" s="176"/>
      <c r="BD45" s="176"/>
      <c r="BE45" s="176"/>
      <c r="BF45" s="270"/>
    </row>
    <row r="46" spans="2:58" ht="17.45" customHeight="1" x14ac:dyDescent="0.25">
      <c r="B46" s="227" t="s">
        <v>26</v>
      </c>
      <c r="C46" s="228">
        <f>C45+1</f>
        <v>45748</v>
      </c>
      <c r="D46" s="224">
        <f t="shared" si="9"/>
        <v>0</v>
      </c>
      <c r="E46" s="157">
        <f t="shared" si="10"/>
        <v>0</v>
      </c>
      <c r="F46" s="157">
        <f t="shared" si="11"/>
        <v>0</v>
      </c>
      <c r="G46" s="157">
        <f t="shared" si="12"/>
        <v>1</v>
      </c>
      <c r="H46" s="157">
        <f t="shared" si="13"/>
        <v>0</v>
      </c>
      <c r="I46" s="175"/>
      <c r="J46" s="176"/>
      <c r="K46" s="176"/>
      <c r="L46" s="176"/>
      <c r="M46" s="334"/>
      <c r="N46" s="175"/>
      <c r="O46" s="176"/>
      <c r="P46" s="176"/>
      <c r="Q46" s="176"/>
      <c r="R46" s="334"/>
      <c r="S46" s="175"/>
      <c r="T46" s="176"/>
      <c r="U46" s="176"/>
      <c r="V46" s="176"/>
      <c r="W46" s="334"/>
      <c r="X46" s="175"/>
      <c r="Y46" s="176"/>
      <c r="Z46" s="176"/>
      <c r="AA46" s="176"/>
      <c r="AB46" s="334"/>
      <c r="AC46" s="175"/>
      <c r="AD46" s="176"/>
      <c r="AE46" s="176"/>
      <c r="AF46" s="176"/>
      <c r="AG46" s="334"/>
      <c r="AH46" s="161"/>
      <c r="AI46" s="158"/>
      <c r="AJ46" s="158">
        <v>1</v>
      </c>
      <c r="AK46" s="158">
        <v>0</v>
      </c>
      <c r="AL46" s="162"/>
      <c r="AM46" s="175"/>
      <c r="AN46" s="176"/>
      <c r="AO46" s="176"/>
      <c r="AP46" s="176"/>
      <c r="AQ46" s="272"/>
      <c r="AR46" s="175"/>
      <c r="AS46" s="176"/>
      <c r="AT46" s="176"/>
      <c r="AU46" s="176"/>
      <c r="AV46" s="272"/>
      <c r="AW46" s="175"/>
      <c r="AX46" s="176"/>
      <c r="AY46" s="176"/>
      <c r="AZ46" s="176"/>
      <c r="BA46" s="334"/>
      <c r="BB46" s="175"/>
      <c r="BC46" s="176"/>
      <c r="BD46" s="176"/>
      <c r="BE46" s="176"/>
      <c r="BF46" s="270"/>
    </row>
    <row r="47" spans="2:58" x14ac:dyDescent="0.25">
      <c r="B47" s="227" t="s">
        <v>27</v>
      </c>
      <c r="C47" s="228">
        <f>C46+1</f>
        <v>45749</v>
      </c>
      <c r="D47" s="224">
        <f t="shared" si="9"/>
        <v>0</v>
      </c>
      <c r="E47" s="157">
        <f t="shared" si="10"/>
        <v>0</v>
      </c>
      <c r="F47" s="157">
        <f t="shared" si="11"/>
        <v>0</v>
      </c>
      <c r="G47" s="157">
        <f t="shared" si="12"/>
        <v>1</v>
      </c>
      <c r="H47" s="157">
        <f t="shared" si="13"/>
        <v>0</v>
      </c>
      <c r="I47" s="175"/>
      <c r="J47" s="176"/>
      <c r="K47" s="176"/>
      <c r="L47" s="176"/>
      <c r="M47" s="334"/>
      <c r="N47" s="175"/>
      <c r="O47" s="176"/>
      <c r="P47" s="176"/>
      <c r="Q47" s="176"/>
      <c r="R47" s="334"/>
      <c r="S47" s="175"/>
      <c r="T47" s="176"/>
      <c r="U47" s="176"/>
      <c r="V47" s="176"/>
      <c r="W47" s="334"/>
      <c r="X47" s="175"/>
      <c r="Y47" s="176"/>
      <c r="Z47" s="176"/>
      <c r="AA47" s="176"/>
      <c r="AB47" s="334"/>
      <c r="AC47" s="175"/>
      <c r="AD47" s="176"/>
      <c r="AE47" s="176"/>
      <c r="AF47" s="176"/>
      <c r="AG47" s="334"/>
      <c r="AH47" s="161"/>
      <c r="AI47" s="158"/>
      <c r="AJ47" s="158">
        <v>1</v>
      </c>
      <c r="AK47" s="158">
        <v>0</v>
      </c>
      <c r="AL47" s="162"/>
      <c r="AM47" s="175"/>
      <c r="AN47" s="176"/>
      <c r="AO47" s="176"/>
      <c r="AP47" s="176"/>
      <c r="AQ47" s="272"/>
      <c r="AR47" s="175"/>
      <c r="AS47" s="176"/>
      <c r="AT47" s="176"/>
      <c r="AU47" s="176"/>
      <c r="AV47" s="272"/>
      <c r="AW47" s="175"/>
      <c r="AX47" s="176"/>
      <c r="AY47" s="176"/>
      <c r="AZ47" s="176"/>
      <c r="BA47" s="334"/>
      <c r="BB47" s="175"/>
      <c r="BC47" s="176"/>
      <c r="BD47" s="176"/>
      <c r="BE47" s="176"/>
      <c r="BF47" s="270"/>
    </row>
    <row r="48" spans="2:58" x14ac:dyDescent="0.25">
      <c r="B48" s="227" t="s">
        <v>26</v>
      </c>
      <c r="C48" s="228">
        <f>C47+1</f>
        <v>45750</v>
      </c>
      <c r="D48" s="224">
        <f t="shared" si="9"/>
        <v>0</v>
      </c>
      <c r="E48" s="157">
        <f t="shared" si="10"/>
        <v>0</v>
      </c>
      <c r="F48" s="157">
        <f t="shared" si="11"/>
        <v>0</v>
      </c>
      <c r="G48" s="157">
        <f t="shared" si="12"/>
        <v>1</v>
      </c>
      <c r="H48" s="157">
        <f t="shared" si="13"/>
        <v>0</v>
      </c>
      <c r="I48" s="175"/>
      <c r="J48" s="176"/>
      <c r="K48" s="176"/>
      <c r="L48" s="176"/>
      <c r="M48" s="334"/>
      <c r="N48" s="175"/>
      <c r="O48" s="176"/>
      <c r="P48" s="176"/>
      <c r="Q48" s="176"/>
      <c r="R48" s="334"/>
      <c r="S48" s="175"/>
      <c r="T48" s="176"/>
      <c r="U48" s="176"/>
      <c r="V48" s="176"/>
      <c r="W48" s="334"/>
      <c r="X48" s="175"/>
      <c r="Y48" s="176"/>
      <c r="Z48" s="176"/>
      <c r="AA48" s="176"/>
      <c r="AB48" s="334"/>
      <c r="AC48" s="175"/>
      <c r="AD48" s="176"/>
      <c r="AE48" s="176"/>
      <c r="AF48" s="176"/>
      <c r="AG48" s="334"/>
      <c r="AH48" s="161"/>
      <c r="AI48" s="158"/>
      <c r="AJ48" s="158">
        <v>1</v>
      </c>
      <c r="AK48" s="158">
        <v>0</v>
      </c>
      <c r="AL48" s="162"/>
      <c r="AM48" s="175"/>
      <c r="AN48" s="176"/>
      <c r="AO48" s="176"/>
      <c r="AP48" s="176"/>
      <c r="AQ48" s="272"/>
      <c r="AR48" s="175"/>
      <c r="AS48" s="176"/>
      <c r="AT48" s="176"/>
      <c r="AU48" s="176"/>
      <c r="AV48" s="272"/>
      <c r="AW48" s="175"/>
      <c r="AX48" s="176"/>
      <c r="AY48" s="176"/>
      <c r="AZ48" s="176"/>
      <c r="BA48" s="334"/>
      <c r="BB48" s="175"/>
      <c r="BC48" s="176"/>
      <c r="BD48" s="176"/>
      <c r="BE48" s="176"/>
      <c r="BF48" s="270"/>
    </row>
    <row r="49" spans="2:58" x14ac:dyDescent="0.25">
      <c r="B49" s="227" t="s">
        <v>32</v>
      </c>
      <c r="C49" s="228">
        <f>C48+1</f>
        <v>45751</v>
      </c>
      <c r="D49" s="224">
        <f t="shared" si="9"/>
        <v>0</v>
      </c>
      <c r="E49" s="157">
        <f t="shared" si="10"/>
        <v>0</v>
      </c>
      <c r="F49" s="157">
        <f t="shared" si="11"/>
        <v>0</v>
      </c>
      <c r="G49" s="157">
        <f t="shared" si="12"/>
        <v>1</v>
      </c>
      <c r="H49" s="157">
        <f t="shared" si="13"/>
        <v>0</v>
      </c>
      <c r="I49" s="175"/>
      <c r="J49" s="176"/>
      <c r="K49" s="176"/>
      <c r="L49" s="176"/>
      <c r="M49" s="334"/>
      <c r="N49" s="175"/>
      <c r="O49" s="176"/>
      <c r="P49" s="176"/>
      <c r="Q49" s="176"/>
      <c r="R49" s="334"/>
      <c r="S49" s="175"/>
      <c r="T49" s="176"/>
      <c r="U49" s="176"/>
      <c r="V49" s="176"/>
      <c r="W49" s="334"/>
      <c r="X49" s="175"/>
      <c r="Y49" s="176"/>
      <c r="Z49" s="176"/>
      <c r="AA49" s="176"/>
      <c r="AB49" s="334"/>
      <c r="AC49" s="175"/>
      <c r="AD49" s="176"/>
      <c r="AE49" s="176"/>
      <c r="AF49" s="176"/>
      <c r="AG49" s="334"/>
      <c r="AH49" s="161"/>
      <c r="AI49" s="158"/>
      <c r="AJ49" s="158">
        <v>1</v>
      </c>
      <c r="AK49" s="158">
        <v>0</v>
      </c>
      <c r="AL49" s="162"/>
      <c r="AM49" s="175"/>
      <c r="AN49" s="176"/>
      <c r="AO49" s="176"/>
      <c r="AP49" s="176"/>
      <c r="AQ49" s="273"/>
      <c r="AR49" s="175"/>
      <c r="AS49" s="176"/>
      <c r="AT49" s="176"/>
      <c r="AU49" s="176"/>
      <c r="AV49" s="273"/>
      <c r="AW49" s="175"/>
      <c r="AX49" s="176"/>
      <c r="AY49" s="176"/>
      <c r="AZ49" s="176"/>
      <c r="BA49" s="334"/>
      <c r="BB49" s="175"/>
      <c r="BC49" s="176"/>
      <c r="BD49" s="176"/>
      <c r="BE49" s="176"/>
      <c r="BF49" s="271"/>
    </row>
    <row r="50" spans="2:58" x14ac:dyDescent="0.25">
      <c r="B50" s="276" t="s">
        <v>33</v>
      </c>
      <c r="C50" s="276"/>
      <c r="D50" s="225">
        <f t="shared" ref="D50" si="25">IF(E50=0,0,F50/E50)</f>
        <v>0</v>
      </c>
      <c r="E50" s="170">
        <f>SUM(E45:E49)</f>
        <v>0</v>
      </c>
      <c r="F50" s="170">
        <f>SUM(F45:F49)</f>
        <v>0</v>
      </c>
      <c r="G50" s="170">
        <f>SUM(G45:G49)</f>
        <v>6</v>
      </c>
      <c r="H50" s="170">
        <f>SUM(H45:H49)</f>
        <v>1</v>
      </c>
      <c r="I50" s="175"/>
      <c r="J50" s="176"/>
      <c r="K50" s="176"/>
      <c r="L50" s="176"/>
      <c r="M50" s="334"/>
      <c r="N50" s="175"/>
      <c r="O50" s="176"/>
      <c r="P50" s="176"/>
      <c r="Q50" s="176"/>
      <c r="R50" s="334"/>
      <c r="S50" s="175"/>
      <c r="T50" s="176"/>
      <c r="U50" s="176"/>
      <c r="V50" s="176"/>
      <c r="W50" s="334"/>
      <c r="X50" s="175"/>
      <c r="Y50" s="176"/>
      <c r="Z50" s="176"/>
      <c r="AA50" s="176"/>
      <c r="AB50" s="334"/>
      <c r="AC50" s="175"/>
      <c r="AD50" s="176"/>
      <c r="AE50" s="176"/>
      <c r="AF50" s="176"/>
      <c r="AG50" s="334"/>
      <c r="AH50" s="172">
        <f>SUM(AH45:AH49)</f>
        <v>0</v>
      </c>
      <c r="AI50" s="170">
        <f>SUM(AI45:AI49)</f>
        <v>0</v>
      </c>
      <c r="AJ50" s="170">
        <f>SUM(AJ45:AJ49)</f>
        <v>6</v>
      </c>
      <c r="AK50" s="170">
        <f>SUM(AK45:AK49)</f>
        <v>0</v>
      </c>
      <c r="AL50" s="162"/>
      <c r="AM50" s="172"/>
      <c r="AN50" s="170"/>
      <c r="AO50" s="170"/>
      <c r="AP50" s="170"/>
      <c r="AQ50" s="171"/>
      <c r="AR50" s="172"/>
      <c r="AS50" s="170"/>
      <c r="AT50" s="170"/>
      <c r="AU50" s="170"/>
      <c r="AV50" s="171"/>
      <c r="AW50" s="175"/>
      <c r="AX50" s="176"/>
      <c r="AY50" s="176"/>
      <c r="AZ50" s="176"/>
      <c r="BA50" s="334"/>
      <c r="BB50" s="172"/>
      <c r="BC50" s="170"/>
      <c r="BD50" s="170"/>
      <c r="BE50" s="170"/>
      <c r="BF50" s="171"/>
    </row>
    <row r="51" spans="2:58" x14ac:dyDescent="0.25">
      <c r="B51" s="227" t="s">
        <v>25</v>
      </c>
      <c r="C51" s="228">
        <f>C49+3</f>
        <v>45754</v>
      </c>
      <c r="D51" s="224">
        <f t="shared" si="9"/>
        <v>0</v>
      </c>
      <c r="E51" s="157">
        <f t="shared" si="10"/>
        <v>0</v>
      </c>
      <c r="F51" s="157">
        <f t="shared" si="11"/>
        <v>0</v>
      </c>
      <c r="G51" s="157">
        <f t="shared" si="12"/>
        <v>0</v>
      </c>
      <c r="H51" s="157">
        <f t="shared" si="13"/>
        <v>0</v>
      </c>
      <c r="I51" s="175"/>
      <c r="J51" s="176"/>
      <c r="K51" s="176"/>
      <c r="L51" s="176"/>
      <c r="M51" s="334"/>
      <c r="N51" s="175"/>
      <c r="O51" s="176"/>
      <c r="P51" s="176"/>
      <c r="Q51" s="176"/>
      <c r="R51" s="334"/>
      <c r="S51" s="175"/>
      <c r="T51" s="176"/>
      <c r="U51" s="176"/>
      <c r="V51" s="176"/>
      <c r="W51" s="334"/>
      <c r="X51" s="175"/>
      <c r="Y51" s="176"/>
      <c r="Z51" s="176"/>
      <c r="AA51" s="176"/>
      <c r="AB51" s="334"/>
      <c r="AC51" s="175"/>
      <c r="AD51" s="176"/>
      <c r="AE51" s="176"/>
      <c r="AF51" s="176"/>
      <c r="AG51" s="334"/>
      <c r="AH51" s="175"/>
      <c r="AI51" s="176"/>
      <c r="AJ51" s="176"/>
      <c r="AK51" s="176"/>
      <c r="AL51" s="333" t="s">
        <v>122</v>
      </c>
      <c r="AM51" s="177"/>
      <c r="AN51" s="178"/>
      <c r="AO51" s="178"/>
      <c r="AP51" s="178"/>
      <c r="AQ51" s="329" t="s">
        <v>123</v>
      </c>
      <c r="AR51" s="177"/>
      <c r="AS51" s="178"/>
      <c r="AT51" s="178"/>
      <c r="AU51" s="178"/>
      <c r="AV51" s="329" t="s">
        <v>123</v>
      </c>
      <c r="AW51" s="175"/>
      <c r="AX51" s="176"/>
      <c r="AY51" s="176"/>
      <c r="AZ51" s="176"/>
      <c r="BA51" s="334"/>
      <c r="BB51" s="177"/>
      <c r="BC51" s="178"/>
      <c r="BD51" s="178"/>
      <c r="BE51" s="178"/>
      <c r="BF51" s="329" t="s">
        <v>123</v>
      </c>
    </row>
    <row r="52" spans="2:58" x14ac:dyDescent="0.25">
      <c r="B52" s="227" t="s">
        <v>26</v>
      </c>
      <c r="C52" s="228">
        <f>C51+1</f>
        <v>45755</v>
      </c>
      <c r="D52" s="224">
        <f t="shared" si="9"/>
        <v>0</v>
      </c>
      <c r="E52" s="157">
        <f t="shared" si="10"/>
        <v>0</v>
      </c>
      <c r="F52" s="157">
        <f t="shared" si="11"/>
        <v>0</v>
      </c>
      <c r="G52" s="157">
        <f t="shared" si="12"/>
        <v>0</v>
      </c>
      <c r="H52" s="157">
        <f t="shared" si="13"/>
        <v>0</v>
      </c>
      <c r="I52" s="175"/>
      <c r="J52" s="176"/>
      <c r="K52" s="176"/>
      <c r="L52" s="176"/>
      <c r="M52" s="334"/>
      <c r="N52" s="175"/>
      <c r="O52" s="176"/>
      <c r="P52" s="176"/>
      <c r="Q52" s="176"/>
      <c r="R52" s="334"/>
      <c r="S52" s="175"/>
      <c r="T52" s="176"/>
      <c r="U52" s="176"/>
      <c r="V52" s="176"/>
      <c r="W52" s="334"/>
      <c r="X52" s="175"/>
      <c r="Y52" s="176"/>
      <c r="Z52" s="176"/>
      <c r="AA52" s="176"/>
      <c r="AB52" s="334"/>
      <c r="AC52" s="175"/>
      <c r="AD52" s="176"/>
      <c r="AE52" s="176"/>
      <c r="AF52" s="176"/>
      <c r="AG52" s="334"/>
      <c r="AH52" s="175"/>
      <c r="AI52" s="176"/>
      <c r="AJ52" s="176"/>
      <c r="AK52" s="176"/>
      <c r="AL52" s="334"/>
      <c r="AM52" s="177"/>
      <c r="AN52" s="178"/>
      <c r="AO52" s="178"/>
      <c r="AP52" s="178"/>
      <c r="AQ52" s="330"/>
      <c r="AR52" s="177"/>
      <c r="AS52" s="178"/>
      <c r="AT52" s="178"/>
      <c r="AU52" s="178"/>
      <c r="AV52" s="330"/>
      <c r="AW52" s="175"/>
      <c r="AX52" s="176"/>
      <c r="AY52" s="176"/>
      <c r="AZ52" s="176"/>
      <c r="BA52" s="334"/>
      <c r="BB52" s="177"/>
      <c r="BC52" s="178"/>
      <c r="BD52" s="178"/>
      <c r="BE52" s="178"/>
      <c r="BF52" s="330"/>
    </row>
    <row r="53" spans="2:58" x14ac:dyDescent="0.25">
      <c r="B53" s="227" t="s">
        <v>27</v>
      </c>
      <c r="C53" s="228">
        <f>C52+1</f>
        <v>45756</v>
      </c>
      <c r="D53" s="224">
        <f t="shared" si="9"/>
        <v>0</v>
      </c>
      <c r="E53" s="157">
        <f t="shared" si="10"/>
        <v>0</v>
      </c>
      <c r="F53" s="157">
        <f t="shared" si="11"/>
        <v>0</v>
      </c>
      <c r="G53" s="157">
        <f t="shared" si="12"/>
        <v>0</v>
      </c>
      <c r="H53" s="157">
        <f t="shared" si="13"/>
        <v>0</v>
      </c>
      <c r="I53" s="175"/>
      <c r="J53" s="176"/>
      <c r="K53" s="176"/>
      <c r="L53" s="176"/>
      <c r="M53" s="334"/>
      <c r="N53" s="175"/>
      <c r="O53" s="176"/>
      <c r="P53" s="176"/>
      <c r="Q53" s="176"/>
      <c r="R53" s="334"/>
      <c r="S53" s="175"/>
      <c r="T53" s="176"/>
      <c r="U53" s="176"/>
      <c r="V53" s="176"/>
      <c r="W53" s="334"/>
      <c r="X53" s="175"/>
      <c r="Y53" s="176"/>
      <c r="Z53" s="176"/>
      <c r="AA53" s="176"/>
      <c r="AB53" s="334"/>
      <c r="AC53" s="175"/>
      <c r="AD53" s="176"/>
      <c r="AE53" s="176"/>
      <c r="AF53" s="176"/>
      <c r="AG53" s="334"/>
      <c r="AH53" s="175"/>
      <c r="AI53" s="176"/>
      <c r="AJ53" s="176"/>
      <c r="AK53" s="176"/>
      <c r="AL53" s="334"/>
      <c r="AM53" s="177"/>
      <c r="AN53" s="178"/>
      <c r="AO53" s="178"/>
      <c r="AP53" s="178"/>
      <c r="AQ53" s="330"/>
      <c r="AR53" s="177"/>
      <c r="AS53" s="178"/>
      <c r="AT53" s="178"/>
      <c r="AU53" s="178"/>
      <c r="AV53" s="330"/>
      <c r="AW53" s="175"/>
      <c r="AX53" s="176"/>
      <c r="AY53" s="176"/>
      <c r="AZ53" s="176"/>
      <c r="BA53" s="334"/>
      <c r="BB53" s="177"/>
      <c r="BC53" s="178"/>
      <c r="BD53" s="178"/>
      <c r="BE53" s="178"/>
      <c r="BF53" s="330"/>
    </row>
    <row r="54" spans="2:58" x14ac:dyDescent="0.25">
      <c r="B54" s="227" t="s">
        <v>26</v>
      </c>
      <c r="C54" s="228">
        <f>C53+1</f>
        <v>45757</v>
      </c>
      <c r="D54" s="224">
        <f t="shared" si="9"/>
        <v>0</v>
      </c>
      <c r="E54" s="157">
        <f t="shared" si="10"/>
        <v>0</v>
      </c>
      <c r="F54" s="157">
        <f t="shared" si="11"/>
        <v>0</v>
      </c>
      <c r="G54" s="157">
        <f t="shared" si="12"/>
        <v>0</v>
      </c>
      <c r="H54" s="157">
        <f t="shared" si="13"/>
        <v>0</v>
      </c>
      <c r="I54" s="175"/>
      <c r="J54" s="176"/>
      <c r="K54" s="176"/>
      <c r="L54" s="176"/>
      <c r="M54" s="334"/>
      <c r="N54" s="175"/>
      <c r="O54" s="176"/>
      <c r="P54" s="176"/>
      <c r="Q54" s="176"/>
      <c r="R54" s="334"/>
      <c r="S54" s="175"/>
      <c r="T54" s="176"/>
      <c r="U54" s="176"/>
      <c r="V54" s="176"/>
      <c r="W54" s="334"/>
      <c r="X54" s="175"/>
      <c r="Y54" s="176"/>
      <c r="Z54" s="176"/>
      <c r="AA54" s="176"/>
      <c r="AB54" s="334"/>
      <c r="AC54" s="175"/>
      <c r="AD54" s="176"/>
      <c r="AE54" s="176"/>
      <c r="AF54" s="176"/>
      <c r="AG54" s="334"/>
      <c r="AH54" s="175"/>
      <c r="AI54" s="176"/>
      <c r="AJ54" s="176"/>
      <c r="AK54" s="176"/>
      <c r="AL54" s="334"/>
      <c r="AM54" s="177"/>
      <c r="AN54" s="178"/>
      <c r="AO54" s="178"/>
      <c r="AP54" s="178"/>
      <c r="AQ54" s="330"/>
      <c r="AR54" s="177"/>
      <c r="AS54" s="178"/>
      <c r="AT54" s="178"/>
      <c r="AU54" s="178"/>
      <c r="AV54" s="330"/>
      <c r="AW54" s="175"/>
      <c r="AX54" s="176"/>
      <c r="AY54" s="176"/>
      <c r="AZ54" s="176"/>
      <c r="BA54" s="334"/>
      <c r="BB54" s="177"/>
      <c r="BC54" s="178"/>
      <c r="BD54" s="178"/>
      <c r="BE54" s="178"/>
      <c r="BF54" s="330"/>
    </row>
    <row r="55" spans="2:58" x14ac:dyDescent="0.25">
      <c r="B55" s="227" t="s">
        <v>32</v>
      </c>
      <c r="C55" s="228">
        <f>C54+1</f>
        <v>45758</v>
      </c>
      <c r="D55" s="224">
        <f t="shared" si="9"/>
        <v>0</v>
      </c>
      <c r="E55" s="157">
        <f t="shared" si="10"/>
        <v>0</v>
      </c>
      <c r="F55" s="157">
        <f t="shared" si="11"/>
        <v>0</v>
      </c>
      <c r="G55" s="157">
        <f t="shared" si="12"/>
        <v>0</v>
      </c>
      <c r="H55" s="157">
        <f t="shared" si="13"/>
        <v>0</v>
      </c>
      <c r="I55" s="175"/>
      <c r="J55" s="176"/>
      <c r="K55" s="176"/>
      <c r="L55" s="176"/>
      <c r="M55" s="334"/>
      <c r="N55" s="175"/>
      <c r="O55" s="176"/>
      <c r="P55" s="176"/>
      <c r="Q55" s="176"/>
      <c r="R55" s="334"/>
      <c r="S55" s="175"/>
      <c r="T55" s="176"/>
      <c r="U55" s="176"/>
      <c r="V55" s="176"/>
      <c r="W55" s="334"/>
      <c r="X55" s="175"/>
      <c r="Y55" s="176"/>
      <c r="Z55" s="176"/>
      <c r="AA55" s="176"/>
      <c r="AB55" s="334"/>
      <c r="AC55" s="175"/>
      <c r="AD55" s="176"/>
      <c r="AE55" s="176"/>
      <c r="AF55" s="176"/>
      <c r="AG55" s="334"/>
      <c r="AH55" s="175"/>
      <c r="AI55" s="176"/>
      <c r="AJ55" s="176"/>
      <c r="AK55" s="176"/>
      <c r="AL55" s="334"/>
      <c r="AM55" s="177"/>
      <c r="AN55" s="178"/>
      <c r="AO55" s="178"/>
      <c r="AP55" s="178"/>
      <c r="AQ55" s="330"/>
      <c r="AR55" s="177"/>
      <c r="AS55" s="178"/>
      <c r="AT55" s="178"/>
      <c r="AU55" s="178"/>
      <c r="AV55" s="330"/>
      <c r="AW55" s="175"/>
      <c r="AX55" s="176"/>
      <c r="AY55" s="176"/>
      <c r="AZ55" s="176"/>
      <c r="BA55" s="334"/>
      <c r="BB55" s="177"/>
      <c r="BC55" s="178"/>
      <c r="BD55" s="178"/>
      <c r="BE55" s="178"/>
      <c r="BF55" s="330"/>
    </row>
    <row r="56" spans="2:58" x14ac:dyDescent="0.25">
      <c r="B56" s="276" t="s">
        <v>33</v>
      </c>
      <c r="C56" s="276"/>
      <c r="D56" s="225">
        <f t="shared" ref="D56" si="26">IF(E56=0,0,F56/E56)</f>
        <v>0</v>
      </c>
      <c r="E56" s="170">
        <f>SUM(E51:E55)</f>
        <v>0</v>
      </c>
      <c r="F56" s="170">
        <f>SUM(F51:F55)</f>
        <v>0</v>
      </c>
      <c r="G56" s="170">
        <f>SUM(G51:G55)</f>
        <v>0</v>
      </c>
      <c r="H56" s="170">
        <f>SUM(H51:H55)</f>
        <v>0</v>
      </c>
      <c r="I56" s="175"/>
      <c r="J56" s="176"/>
      <c r="K56" s="176"/>
      <c r="L56" s="176"/>
      <c r="M56" s="334"/>
      <c r="N56" s="175"/>
      <c r="O56" s="176"/>
      <c r="P56" s="176"/>
      <c r="Q56" s="176"/>
      <c r="R56" s="334"/>
      <c r="S56" s="175"/>
      <c r="T56" s="176"/>
      <c r="U56" s="176"/>
      <c r="V56" s="176"/>
      <c r="W56" s="334"/>
      <c r="X56" s="175"/>
      <c r="Y56" s="176"/>
      <c r="Z56" s="176"/>
      <c r="AA56" s="176"/>
      <c r="AB56" s="334"/>
      <c r="AC56" s="175"/>
      <c r="AD56" s="176"/>
      <c r="AE56" s="176"/>
      <c r="AF56" s="176"/>
      <c r="AG56" s="334"/>
      <c r="AH56" s="175"/>
      <c r="AI56" s="176"/>
      <c r="AJ56" s="176"/>
      <c r="AK56" s="176"/>
      <c r="AL56" s="334"/>
      <c r="AM56" s="177"/>
      <c r="AN56" s="178"/>
      <c r="AO56" s="178"/>
      <c r="AP56" s="178"/>
      <c r="AQ56" s="330"/>
      <c r="AR56" s="177"/>
      <c r="AS56" s="178"/>
      <c r="AT56" s="178"/>
      <c r="AU56" s="178"/>
      <c r="AV56" s="330"/>
      <c r="AW56" s="175"/>
      <c r="AX56" s="176"/>
      <c r="AY56" s="176"/>
      <c r="AZ56" s="176"/>
      <c r="BA56" s="334"/>
      <c r="BB56" s="177"/>
      <c r="BC56" s="178"/>
      <c r="BD56" s="178"/>
      <c r="BE56" s="178"/>
      <c r="BF56" s="330"/>
    </row>
    <row r="57" spans="2:58" x14ac:dyDescent="0.25">
      <c r="B57" s="227" t="s">
        <v>25</v>
      </c>
      <c r="C57" s="228">
        <f>C55+3</f>
        <v>45761</v>
      </c>
      <c r="D57" s="224">
        <f t="shared" si="9"/>
        <v>0</v>
      </c>
      <c r="E57" s="157">
        <f t="shared" si="10"/>
        <v>0</v>
      </c>
      <c r="F57" s="157">
        <f t="shared" si="11"/>
        <v>0</v>
      </c>
      <c r="G57" s="157">
        <f t="shared" si="12"/>
        <v>0</v>
      </c>
      <c r="H57" s="157">
        <f t="shared" si="13"/>
        <v>0</v>
      </c>
      <c r="I57" s="175"/>
      <c r="J57" s="176"/>
      <c r="K57" s="176"/>
      <c r="L57" s="176"/>
      <c r="M57" s="334"/>
      <c r="N57" s="175"/>
      <c r="O57" s="176"/>
      <c r="P57" s="176"/>
      <c r="Q57" s="176"/>
      <c r="R57" s="334"/>
      <c r="S57" s="175"/>
      <c r="T57" s="176"/>
      <c r="U57" s="176"/>
      <c r="V57" s="176"/>
      <c r="W57" s="334"/>
      <c r="X57" s="175"/>
      <c r="Y57" s="176"/>
      <c r="Z57" s="176"/>
      <c r="AA57" s="176"/>
      <c r="AB57" s="334"/>
      <c r="AC57" s="175"/>
      <c r="AD57" s="176"/>
      <c r="AE57" s="176"/>
      <c r="AF57" s="176"/>
      <c r="AG57" s="334"/>
      <c r="AH57" s="175"/>
      <c r="AI57" s="176"/>
      <c r="AJ57" s="176"/>
      <c r="AK57" s="176"/>
      <c r="AL57" s="334"/>
      <c r="AM57" s="177"/>
      <c r="AN57" s="178"/>
      <c r="AO57" s="178"/>
      <c r="AP57" s="178"/>
      <c r="AQ57" s="330"/>
      <c r="AR57" s="177"/>
      <c r="AS57" s="178"/>
      <c r="AT57" s="178"/>
      <c r="AU57" s="178"/>
      <c r="AV57" s="330"/>
      <c r="AW57" s="175"/>
      <c r="AX57" s="176"/>
      <c r="AY57" s="176"/>
      <c r="AZ57" s="176"/>
      <c r="BA57" s="334"/>
      <c r="BB57" s="177"/>
      <c r="BC57" s="178"/>
      <c r="BD57" s="178"/>
      <c r="BE57" s="178"/>
      <c r="BF57" s="330"/>
    </row>
    <row r="58" spans="2:58" x14ac:dyDescent="0.25">
      <c r="B58" s="227" t="s">
        <v>26</v>
      </c>
      <c r="C58" s="228">
        <f>C57+1</f>
        <v>45762</v>
      </c>
      <c r="D58" s="224">
        <f t="shared" si="9"/>
        <v>0</v>
      </c>
      <c r="E58" s="157">
        <f t="shared" si="10"/>
        <v>0</v>
      </c>
      <c r="F58" s="157">
        <f t="shared" si="11"/>
        <v>0</v>
      </c>
      <c r="G58" s="157">
        <f t="shared" si="12"/>
        <v>0</v>
      </c>
      <c r="H58" s="157">
        <f t="shared" si="13"/>
        <v>0</v>
      </c>
      <c r="I58" s="175"/>
      <c r="J58" s="176"/>
      <c r="K58" s="176"/>
      <c r="L58" s="176"/>
      <c r="M58" s="334"/>
      <c r="N58" s="175"/>
      <c r="O58" s="176"/>
      <c r="P58" s="176"/>
      <c r="Q58" s="176"/>
      <c r="R58" s="334"/>
      <c r="S58" s="175"/>
      <c r="T58" s="176"/>
      <c r="U58" s="176"/>
      <c r="V58" s="176"/>
      <c r="W58" s="334"/>
      <c r="X58" s="175"/>
      <c r="Y58" s="176"/>
      <c r="Z58" s="176"/>
      <c r="AA58" s="176"/>
      <c r="AB58" s="334"/>
      <c r="AC58" s="175"/>
      <c r="AD58" s="176"/>
      <c r="AE58" s="176"/>
      <c r="AF58" s="176"/>
      <c r="AG58" s="334"/>
      <c r="AH58" s="175"/>
      <c r="AI58" s="176"/>
      <c r="AJ58" s="176"/>
      <c r="AK58" s="176"/>
      <c r="AL58" s="334"/>
      <c r="AM58" s="177"/>
      <c r="AN58" s="178"/>
      <c r="AO58" s="178"/>
      <c r="AP58" s="178"/>
      <c r="AQ58" s="330"/>
      <c r="AR58" s="177"/>
      <c r="AS58" s="178"/>
      <c r="AT58" s="178"/>
      <c r="AU58" s="178"/>
      <c r="AV58" s="330"/>
      <c r="AW58" s="175"/>
      <c r="AX58" s="176"/>
      <c r="AY58" s="176"/>
      <c r="AZ58" s="176"/>
      <c r="BA58" s="334"/>
      <c r="BB58" s="177"/>
      <c r="BC58" s="178"/>
      <c r="BD58" s="178"/>
      <c r="BE58" s="178"/>
      <c r="BF58" s="330"/>
    </row>
    <row r="59" spans="2:58" x14ac:dyDescent="0.25">
      <c r="B59" s="227" t="s">
        <v>27</v>
      </c>
      <c r="C59" s="228">
        <f>C58+1</f>
        <v>45763</v>
      </c>
      <c r="D59" s="224">
        <f t="shared" si="9"/>
        <v>0</v>
      </c>
      <c r="E59" s="157">
        <f t="shared" si="10"/>
        <v>0</v>
      </c>
      <c r="F59" s="157">
        <f t="shared" si="11"/>
        <v>0</v>
      </c>
      <c r="G59" s="157">
        <f t="shared" si="12"/>
        <v>0</v>
      </c>
      <c r="H59" s="157">
        <f t="shared" si="13"/>
        <v>0</v>
      </c>
      <c r="I59" s="175"/>
      <c r="J59" s="176"/>
      <c r="K59" s="176"/>
      <c r="L59" s="176"/>
      <c r="M59" s="334"/>
      <c r="N59" s="175"/>
      <c r="O59" s="176"/>
      <c r="P59" s="176"/>
      <c r="Q59" s="176"/>
      <c r="R59" s="334"/>
      <c r="S59" s="175"/>
      <c r="T59" s="176"/>
      <c r="U59" s="176"/>
      <c r="V59" s="176"/>
      <c r="W59" s="334"/>
      <c r="X59" s="175"/>
      <c r="Y59" s="176"/>
      <c r="Z59" s="176"/>
      <c r="AA59" s="176"/>
      <c r="AB59" s="334"/>
      <c r="AC59" s="175"/>
      <c r="AD59" s="176"/>
      <c r="AE59" s="176"/>
      <c r="AF59" s="176"/>
      <c r="AG59" s="334"/>
      <c r="AH59" s="175"/>
      <c r="AI59" s="176"/>
      <c r="AJ59" s="176"/>
      <c r="AK59" s="176"/>
      <c r="AL59" s="334"/>
      <c r="AM59" s="177"/>
      <c r="AN59" s="178"/>
      <c r="AO59" s="178"/>
      <c r="AP59" s="178"/>
      <c r="AQ59" s="330"/>
      <c r="AR59" s="177"/>
      <c r="AS59" s="178"/>
      <c r="AT59" s="178"/>
      <c r="AU59" s="178"/>
      <c r="AV59" s="330"/>
      <c r="AW59" s="175"/>
      <c r="AX59" s="176"/>
      <c r="AY59" s="176"/>
      <c r="AZ59" s="176"/>
      <c r="BA59" s="334"/>
      <c r="BB59" s="177"/>
      <c r="BC59" s="178"/>
      <c r="BD59" s="178"/>
      <c r="BE59" s="178"/>
      <c r="BF59" s="330"/>
    </row>
    <row r="60" spans="2:58" x14ac:dyDescent="0.25">
      <c r="B60" s="227" t="s">
        <v>26</v>
      </c>
      <c r="C60" s="228">
        <f>C59+1</f>
        <v>45764</v>
      </c>
      <c r="D60" s="224">
        <f t="shared" si="9"/>
        <v>0</v>
      </c>
      <c r="E60" s="157">
        <f t="shared" si="10"/>
        <v>0</v>
      </c>
      <c r="F60" s="157">
        <f t="shared" si="11"/>
        <v>0</v>
      </c>
      <c r="G60" s="157">
        <f t="shared" si="12"/>
        <v>0</v>
      </c>
      <c r="H60" s="157">
        <f t="shared" si="13"/>
        <v>0</v>
      </c>
      <c r="I60" s="175"/>
      <c r="J60" s="176"/>
      <c r="K60" s="176"/>
      <c r="L60" s="176"/>
      <c r="M60" s="334"/>
      <c r="N60" s="175"/>
      <c r="O60" s="176"/>
      <c r="P60" s="176"/>
      <c r="Q60" s="176"/>
      <c r="R60" s="334"/>
      <c r="S60" s="175"/>
      <c r="T60" s="176"/>
      <c r="U60" s="176"/>
      <c r="V60" s="176"/>
      <c r="W60" s="334"/>
      <c r="X60" s="175"/>
      <c r="Y60" s="176"/>
      <c r="Z60" s="176"/>
      <c r="AA60" s="176"/>
      <c r="AB60" s="334"/>
      <c r="AC60" s="175"/>
      <c r="AD60" s="176"/>
      <c r="AE60" s="176"/>
      <c r="AF60" s="176"/>
      <c r="AG60" s="334"/>
      <c r="AH60" s="175"/>
      <c r="AI60" s="176"/>
      <c r="AJ60" s="176"/>
      <c r="AK60" s="176"/>
      <c r="AL60" s="334"/>
      <c r="AM60" s="177"/>
      <c r="AN60" s="178"/>
      <c r="AO60" s="178"/>
      <c r="AP60" s="178"/>
      <c r="AQ60" s="330"/>
      <c r="AR60" s="177"/>
      <c r="AS60" s="178"/>
      <c r="AT60" s="178"/>
      <c r="AU60" s="178"/>
      <c r="AV60" s="330"/>
      <c r="AW60" s="175"/>
      <c r="AX60" s="176"/>
      <c r="AY60" s="176"/>
      <c r="AZ60" s="176"/>
      <c r="BA60" s="334"/>
      <c r="BB60" s="177"/>
      <c r="BC60" s="178"/>
      <c r="BD60" s="178"/>
      <c r="BE60" s="178"/>
      <c r="BF60" s="330"/>
    </row>
    <row r="61" spans="2:58" x14ac:dyDescent="0.25">
      <c r="B61" s="227" t="s">
        <v>32</v>
      </c>
      <c r="C61" s="228">
        <f>C60+1</f>
        <v>45765</v>
      </c>
      <c r="D61" s="224">
        <f t="shared" si="9"/>
        <v>0</v>
      </c>
      <c r="E61" s="157">
        <f t="shared" si="10"/>
        <v>0</v>
      </c>
      <c r="F61" s="157">
        <f t="shared" si="11"/>
        <v>0</v>
      </c>
      <c r="G61" s="157">
        <f t="shared" si="12"/>
        <v>0</v>
      </c>
      <c r="H61" s="157">
        <f t="shared" si="13"/>
        <v>0</v>
      </c>
      <c r="I61" s="175"/>
      <c r="J61" s="176"/>
      <c r="K61" s="176"/>
      <c r="L61" s="176"/>
      <c r="M61" s="335"/>
      <c r="N61" s="175"/>
      <c r="O61" s="176"/>
      <c r="P61" s="176"/>
      <c r="Q61" s="176"/>
      <c r="R61" s="335"/>
      <c r="S61" s="175"/>
      <c r="T61" s="176"/>
      <c r="U61" s="176"/>
      <c r="V61" s="176"/>
      <c r="W61" s="335"/>
      <c r="X61" s="175"/>
      <c r="Y61" s="176"/>
      <c r="Z61" s="176"/>
      <c r="AA61" s="176"/>
      <c r="AB61" s="335"/>
      <c r="AC61" s="175"/>
      <c r="AD61" s="176"/>
      <c r="AE61" s="176"/>
      <c r="AF61" s="176"/>
      <c r="AG61" s="335"/>
      <c r="AH61" s="175"/>
      <c r="AI61" s="176"/>
      <c r="AJ61" s="176"/>
      <c r="AK61" s="176"/>
      <c r="AL61" s="335"/>
      <c r="AM61" s="177"/>
      <c r="AN61" s="178"/>
      <c r="AO61" s="178"/>
      <c r="AP61" s="178"/>
      <c r="AQ61" s="330"/>
      <c r="AR61" s="177"/>
      <c r="AS61" s="178"/>
      <c r="AT61" s="178"/>
      <c r="AU61" s="178"/>
      <c r="AV61" s="330"/>
      <c r="AW61" s="175"/>
      <c r="AX61" s="176"/>
      <c r="AY61" s="176"/>
      <c r="AZ61" s="176"/>
      <c r="BA61" s="335"/>
      <c r="BB61" s="177"/>
      <c r="BC61" s="178"/>
      <c r="BD61" s="178"/>
      <c r="BE61" s="178"/>
      <c r="BF61" s="330"/>
    </row>
    <row r="62" spans="2:58" x14ac:dyDescent="0.25">
      <c r="B62" s="276" t="s">
        <v>33</v>
      </c>
      <c r="C62" s="276"/>
      <c r="D62" s="225">
        <f t="shared" ref="D62" si="27">IF(E62=0,0,F62/E62)</f>
        <v>0</v>
      </c>
      <c r="E62" s="170">
        <f>SUM(E57:E61)</f>
        <v>0</v>
      </c>
      <c r="F62" s="170">
        <f>SUM(F57:F61)</f>
        <v>0</v>
      </c>
      <c r="G62" s="170">
        <f>SUM(G57:G61)</f>
        <v>0</v>
      </c>
      <c r="H62" s="170">
        <f>SUM(H57:H61)</f>
        <v>0</v>
      </c>
      <c r="I62" s="172"/>
      <c r="J62" s="170"/>
      <c r="K62" s="170"/>
      <c r="L62" s="170"/>
      <c r="M62" s="171"/>
      <c r="N62" s="172"/>
      <c r="O62" s="170"/>
      <c r="P62" s="170"/>
      <c r="Q62" s="170"/>
      <c r="R62" s="171"/>
      <c r="S62" s="172"/>
      <c r="T62" s="170"/>
      <c r="U62" s="170"/>
      <c r="V62" s="170"/>
      <c r="W62" s="171"/>
      <c r="X62" s="172"/>
      <c r="Y62" s="170"/>
      <c r="Z62" s="170"/>
      <c r="AA62" s="170"/>
      <c r="AB62" s="171"/>
      <c r="AC62" s="172"/>
      <c r="AD62" s="170"/>
      <c r="AE62" s="170"/>
      <c r="AF62" s="170"/>
      <c r="AG62" s="171"/>
      <c r="AH62" s="172"/>
      <c r="AI62" s="170"/>
      <c r="AJ62" s="170"/>
      <c r="AK62" s="170"/>
      <c r="AL62" s="171"/>
      <c r="AM62" s="177"/>
      <c r="AN62" s="178"/>
      <c r="AO62" s="178"/>
      <c r="AP62" s="178"/>
      <c r="AQ62" s="330"/>
      <c r="AR62" s="177"/>
      <c r="AS62" s="178"/>
      <c r="AT62" s="178"/>
      <c r="AU62" s="178"/>
      <c r="AV62" s="330"/>
      <c r="AW62" s="172"/>
      <c r="AX62" s="170"/>
      <c r="AY62" s="170"/>
      <c r="AZ62" s="170"/>
      <c r="BA62" s="171"/>
      <c r="BB62" s="177"/>
      <c r="BC62" s="178"/>
      <c r="BD62" s="178"/>
      <c r="BE62" s="178"/>
      <c r="BF62" s="330"/>
    </row>
    <row r="63" spans="2:58" x14ac:dyDescent="0.25">
      <c r="B63" s="227" t="s">
        <v>25</v>
      </c>
      <c r="C63" s="228">
        <f>C61+3</f>
        <v>45768</v>
      </c>
      <c r="D63" s="224">
        <f t="shared" si="9"/>
        <v>0</v>
      </c>
      <c r="E63" s="157">
        <f t="shared" si="10"/>
        <v>0</v>
      </c>
      <c r="F63" s="157">
        <f t="shared" si="11"/>
        <v>0</v>
      </c>
      <c r="G63" s="157">
        <f t="shared" si="12"/>
        <v>0</v>
      </c>
      <c r="H63" s="157">
        <f t="shared" si="13"/>
        <v>0</v>
      </c>
      <c r="I63" s="177"/>
      <c r="J63" s="178"/>
      <c r="K63" s="178"/>
      <c r="L63" s="178"/>
      <c r="M63" s="329" t="s">
        <v>123</v>
      </c>
      <c r="N63" s="177"/>
      <c r="O63" s="178"/>
      <c r="P63" s="178"/>
      <c r="Q63" s="178"/>
      <c r="R63" s="329" t="s">
        <v>123</v>
      </c>
      <c r="S63" s="177"/>
      <c r="T63" s="178"/>
      <c r="U63" s="178"/>
      <c r="V63" s="178"/>
      <c r="W63" s="329" t="s">
        <v>123</v>
      </c>
      <c r="X63" s="177"/>
      <c r="Y63" s="178"/>
      <c r="Z63" s="178"/>
      <c r="AA63" s="178"/>
      <c r="AB63" s="329" t="s">
        <v>123</v>
      </c>
      <c r="AC63" s="177"/>
      <c r="AD63" s="178"/>
      <c r="AE63" s="178"/>
      <c r="AF63" s="178"/>
      <c r="AG63" s="329" t="s">
        <v>123</v>
      </c>
      <c r="AH63" s="177"/>
      <c r="AI63" s="178"/>
      <c r="AJ63" s="178"/>
      <c r="AK63" s="178"/>
      <c r="AL63" s="329" t="s">
        <v>123</v>
      </c>
      <c r="AM63" s="177"/>
      <c r="AN63" s="178"/>
      <c r="AO63" s="178"/>
      <c r="AP63" s="178"/>
      <c r="AQ63" s="330"/>
      <c r="AR63" s="177"/>
      <c r="AS63" s="178"/>
      <c r="AT63" s="178"/>
      <c r="AU63" s="178"/>
      <c r="AV63" s="330"/>
      <c r="AW63" s="177"/>
      <c r="AX63" s="178"/>
      <c r="AY63" s="178"/>
      <c r="AZ63" s="178"/>
      <c r="BA63" s="329" t="s">
        <v>123</v>
      </c>
      <c r="BB63" s="177"/>
      <c r="BC63" s="178"/>
      <c r="BD63" s="178"/>
      <c r="BE63" s="178"/>
      <c r="BF63" s="330"/>
    </row>
    <row r="64" spans="2:58" x14ac:dyDescent="0.25">
      <c r="B64" s="227" t="s">
        <v>26</v>
      </c>
      <c r="C64" s="228">
        <f>C63+1</f>
        <v>45769</v>
      </c>
      <c r="D64" s="224">
        <f t="shared" ref="D64:D71" si="28">IF(E64=0,0,F64/E64)</f>
        <v>0</v>
      </c>
      <c r="E64" s="157">
        <f t="shared" ref="E64:E71" si="29">SUM(I64,N64,S64,X64,AC64,AH64,AM64,AR64,AW64)</f>
        <v>0</v>
      </c>
      <c r="F64" s="157">
        <f t="shared" ref="F64:F71" si="30">SUM(J64,O64,T64,Y64,AD64,AI64,AN64,AS64,AX64)</f>
        <v>0</v>
      </c>
      <c r="G64" s="157">
        <f t="shared" ref="G64:G71" si="31">SUM(K64,P64,U64,Z64,AE64,AJ64,AO64,AT64,AY64)</f>
        <v>0</v>
      </c>
      <c r="H64" s="157">
        <f t="shared" ref="H64:H71" si="32">SUM(L64,Q64,V64,AA64,AF64,AK64,AP64,AU64,BA64)</f>
        <v>0</v>
      </c>
      <c r="I64" s="177"/>
      <c r="J64" s="178"/>
      <c r="K64" s="178"/>
      <c r="L64" s="178"/>
      <c r="M64" s="330"/>
      <c r="N64" s="177"/>
      <c r="O64" s="178"/>
      <c r="P64" s="178"/>
      <c r="Q64" s="178"/>
      <c r="R64" s="330"/>
      <c r="S64" s="177"/>
      <c r="T64" s="178"/>
      <c r="U64" s="178"/>
      <c r="V64" s="178"/>
      <c r="W64" s="330"/>
      <c r="X64" s="177"/>
      <c r="Y64" s="178"/>
      <c r="Z64" s="178"/>
      <c r="AA64" s="178"/>
      <c r="AB64" s="330"/>
      <c r="AC64" s="177"/>
      <c r="AD64" s="178"/>
      <c r="AE64" s="178"/>
      <c r="AF64" s="178"/>
      <c r="AG64" s="330"/>
      <c r="AH64" s="177"/>
      <c r="AI64" s="178"/>
      <c r="AJ64" s="178"/>
      <c r="AK64" s="178"/>
      <c r="AL64" s="330"/>
      <c r="AM64" s="177"/>
      <c r="AN64" s="178"/>
      <c r="AO64" s="178"/>
      <c r="AP64" s="178"/>
      <c r="AQ64" s="330"/>
      <c r="AR64" s="177"/>
      <c r="AS64" s="178"/>
      <c r="AT64" s="178"/>
      <c r="AU64" s="178"/>
      <c r="AV64" s="330"/>
      <c r="AW64" s="177"/>
      <c r="AX64" s="178"/>
      <c r="AY64" s="178"/>
      <c r="AZ64" s="178"/>
      <c r="BA64" s="330"/>
      <c r="BB64" s="177"/>
      <c r="BC64" s="178"/>
      <c r="BD64" s="178"/>
      <c r="BE64" s="178"/>
      <c r="BF64" s="330"/>
    </row>
    <row r="65" spans="2:58" x14ac:dyDescent="0.25">
      <c r="B65" s="227" t="s">
        <v>27</v>
      </c>
      <c r="C65" s="228">
        <f>C64+1</f>
        <v>45770</v>
      </c>
      <c r="D65" s="224">
        <f t="shared" si="28"/>
        <v>0</v>
      </c>
      <c r="E65" s="157">
        <f t="shared" si="29"/>
        <v>0</v>
      </c>
      <c r="F65" s="157">
        <f t="shared" si="30"/>
        <v>0</v>
      </c>
      <c r="G65" s="157">
        <f t="shared" si="31"/>
        <v>0</v>
      </c>
      <c r="H65" s="157">
        <f t="shared" si="32"/>
        <v>0</v>
      </c>
      <c r="I65" s="177"/>
      <c r="J65" s="178"/>
      <c r="K65" s="178"/>
      <c r="L65" s="178"/>
      <c r="M65" s="330"/>
      <c r="N65" s="177"/>
      <c r="O65" s="178"/>
      <c r="P65" s="178"/>
      <c r="Q65" s="178"/>
      <c r="R65" s="330"/>
      <c r="S65" s="177"/>
      <c r="T65" s="178"/>
      <c r="U65" s="178"/>
      <c r="V65" s="178"/>
      <c r="W65" s="330"/>
      <c r="X65" s="177"/>
      <c r="Y65" s="178"/>
      <c r="Z65" s="178"/>
      <c r="AA65" s="178"/>
      <c r="AB65" s="330"/>
      <c r="AC65" s="177"/>
      <c r="AD65" s="178"/>
      <c r="AE65" s="178"/>
      <c r="AF65" s="178"/>
      <c r="AG65" s="330"/>
      <c r="AH65" s="177"/>
      <c r="AI65" s="178"/>
      <c r="AJ65" s="178"/>
      <c r="AK65" s="178"/>
      <c r="AL65" s="330"/>
      <c r="AM65" s="177"/>
      <c r="AN65" s="178"/>
      <c r="AO65" s="178"/>
      <c r="AP65" s="178"/>
      <c r="AQ65" s="330"/>
      <c r="AR65" s="177"/>
      <c r="AS65" s="178"/>
      <c r="AT65" s="178"/>
      <c r="AU65" s="178"/>
      <c r="AV65" s="330"/>
      <c r="AW65" s="177"/>
      <c r="AX65" s="178"/>
      <c r="AY65" s="178"/>
      <c r="AZ65" s="178"/>
      <c r="BA65" s="330"/>
      <c r="BB65" s="177"/>
      <c r="BC65" s="178"/>
      <c r="BD65" s="178"/>
      <c r="BE65" s="178"/>
      <c r="BF65" s="330"/>
    </row>
    <row r="66" spans="2:58" x14ac:dyDescent="0.25">
      <c r="B66" s="227" t="s">
        <v>26</v>
      </c>
      <c r="C66" s="228">
        <f>C65+1</f>
        <v>45771</v>
      </c>
      <c r="D66" s="224">
        <f t="shared" si="28"/>
        <v>0</v>
      </c>
      <c r="E66" s="157">
        <f t="shared" si="29"/>
        <v>0</v>
      </c>
      <c r="F66" s="157">
        <f t="shared" si="30"/>
        <v>0</v>
      </c>
      <c r="G66" s="157">
        <f t="shared" si="31"/>
        <v>0</v>
      </c>
      <c r="H66" s="157">
        <f t="shared" si="32"/>
        <v>0</v>
      </c>
      <c r="I66" s="177"/>
      <c r="J66" s="178"/>
      <c r="K66" s="178"/>
      <c r="L66" s="178"/>
      <c r="M66" s="330"/>
      <c r="N66" s="177"/>
      <c r="O66" s="178"/>
      <c r="P66" s="178"/>
      <c r="Q66" s="178"/>
      <c r="R66" s="330"/>
      <c r="S66" s="177"/>
      <c r="T66" s="178"/>
      <c r="U66" s="178"/>
      <c r="V66" s="178"/>
      <c r="W66" s="330"/>
      <c r="X66" s="177"/>
      <c r="Y66" s="178"/>
      <c r="Z66" s="178"/>
      <c r="AA66" s="178"/>
      <c r="AB66" s="330"/>
      <c r="AC66" s="177"/>
      <c r="AD66" s="178"/>
      <c r="AE66" s="178"/>
      <c r="AF66" s="178"/>
      <c r="AG66" s="330"/>
      <c r="AH66" s="177"/>
      <c r="AI66" s="178"/>
      <c r="AJ66" s="178"/>
      <c r="AK66" s="178"/>
      <c r="AL66" s="330"/>
      <c r="AM66" s="177"/>
      <c r="AN66" s="178"/>
      <c r="AO66" s="178"/>
      <c r="AP66" s="178"/>
      <c r="AQ66" s="330"/>
      <c r="AR66" s="177"/>
      <c r="AS66" s="178"/>
      <c r="AT66" s="178"/>
      <c r="AU66" s="178"/>
      <c r="AV66" s="330"/>
      <c r="AW66" s="177"/>
      <c r="AX66" s="178"/>
      <c r="AY66" s="178"/>
      <c r="AZ66" s="178"/>
      <c r="BA66" s="330"/>
      <c r="BB66" s="177"/>
      <c r="BC66" s="178"/>
      <c r="BD66" s="178"/>
      <c r="BE66" s="178"/>
      <c r="BF66" s="330"/>
    </row>
    <row r="67" spans="2:58" x14ac:dyDescent="0.25">
      <c r="B67" s="227" t="s">
        <v>32</v>
      </c>
      <c r="C67" s="228">
        <f>C66+1</f>
        <v>45772</v>
      </c>
      <c r="D67" s="224">
        <f t="shared" si="28"/>
        <v>0</v>
      </c>
      <c r="E67" s="157">
        <f t="shared" si="29"/>
        <v>0</v>
      </c>
      <c r="F67" s="157">
        <f t="shared" si="30"/>
        <v>0</v>
      </c>
      <c r="G67" s="157">
        <f t="shared" si="31"/>
        <v>0</v>
      </c>
      <c r="H67" s="157">
        <f t="shared" si="32"/>
        <v>0</v>
      </c>
      <c r="I67" s="177"/>
      <c r="J67" s="178"/>
      <c r="K67" s="178"/>
      <c r="L67" s="178"/>
      <c r="M67" s="330"/>
      <c r="N67" s="177"/>
      <c r="O67" s="178"/>
      <c r="P67" s="178"/>
      <c r="Q67" s="178"/>
      <c r="R67" s="330"/>
      <c r="S67" s="177"/>
      <c r="T67" s="178"/>
      <c r="U67" s="178"/>
      <c r="V67" s="178"/>
      <c r="W67" s="330"/>
      <c r="X67" s="177"/>
      <c r="Y67" s="178"/>
      <c r="Z67" s="178"/>
      <c r="AA67" s="178"/>
      <c r="AB67" s="330"/>
      <c r="AC67" s="177"/>
      <c r="AD67" s="178"/>
      <c r="AE67" s="178"/>
      <c r="AF67" s="178"/>
      <c r="AG67" s="330"/>
      <c r="AH67" s="177"/>
      <c r="AI67" s="178"/>
      <c r="AJ67" s="178"/>
      <c r="AK67" s="178"/>
      <c r="AL67" s="330"/>
      <c r="AM67" s="177"/>
      <c r="AN67" s="178"/>
      <c r="AO67" s="178"/>
      <c r="AP67" s="178"/>
      <c r="AQ67" s="331"/>
      <c r="AR67" s="177"/>
      <c r="AS67" s="178"/>
      <c r="AT67" s="178"/>
      <c r="AU67" s="178"/>
      <c r="AV67" s="331"/>
      <c r="AW67" s="177"/>
      <c r="AX67" s="178"/>
      <c r="AY67" s="178"/>
      <c r="AZ67" s="178"/>
      <c r="BA67" s="330"/>
      <c r="BB67" s="177"/>
      <c r="BC67" s="178"/>
      <c r="BD67" s="178"/>
      <c r="BE67" s="178"/>
      <c r="BF67" s="331"/>
    </row>
    <row r="68" spans="2:58" x14ac:dyDescent="0.25">
      <c r="B68" s="276" t="s">
        <v>33</v>
      </c>
      <c r="C68" s="276"/>
      <c r="D68" s="225">
        <f t="shared" si="28"/>
        <v>0</v>
      </c>
      <c r="E68" s="170">
        <f>SUM(E63:E67)</f>
        <v>0</v>
      </c>
      <c r="F68" s="170">
        <f>SUM(F63:F67)</f>
        <v>0</v>
      </c>
      <c r="G68" s="170">
        <f>SUM(G63:G67)</f>
        <v>0</v>
      </c>
      <c r="H68" s="170">
        <f>SUM(H63:H67)</f>
        <v>0</v>
      </c>
      <c r="I68" s="177"/>
      <c r="J68" s="178"/>
      <c r="K68" s="178"/>
      <c r="L68" s="178"/>
      <c r="M68" s="330"/>
      <c r="N68" s="177"/>
      <c r="O68" s="178"/>
      <c r="P68" s="178"/>
      <c r="Q68" s="178"/>
      <c r="R68" s="330"/>
      <c r="S68" s="177"/>
      <c r="T68" s="178"/>
      <c r="U68" s="178"/>
      <c r="V68" s="178"/>
      <c r="W68" s="330"/>
      <c r="X68" s="177"/>
      <c r="Y68" s="178"/>
      <c r="Z68" s="178"/>
      <c r="AA68" s="178"/>
      <c r="AB68" s="330"/>
      <c r="AC68" s="177"/>
      <c r="AD68" s="178"/>
      <c r="AE68" s="178"/>
      <c r="AF68" s="178"/>
      <c r="AG68" s="330"/>
      <c r="AH68" s="177"/>
      <c r="AI68" s="178"/>
      <c r="AJ68" s="178"/>
      <c r="AK68" s="178"/>
      <c r="AL68" s="330"/>
      <c r="AM68" s="172"/>
      <c r="AN68" s="170"/>
      <c r="AO68" s="170"/>
      <c r="AP68" s="170"/>
      <c r="AQ68" s="171"/>
      <c r="AR68" s="172"/>
      <c r="AS68" s="170"/>
      <c r="AT68" s="170"/>
      <c r="AU68" s="170"/>
      <c r="AV68" s="171"/>
      <c r="AW68" s="177"/>
      <c r="AX68" s="178"/>
      <c r="AY68" s="178"/>
      <c r="AZ68" s="178"/>
      <c r="BA68" s="330"/>
      <c r="BB68" s="172"/>
      <c r="BC68" s="170"/>
      <c r="BD68" s="170"/>
      <c r="BE68" s="170"/>
      <c r="BF68" s="171"/>
    </row>
    <row r="69" spans="2:58" x14ac:dyDescent="0.25">
      <c r="B69" s="227" t="s">
        <v>25</v>
      </c>
      <c r="C69" s="228">
        <f>C67+3</f>
        <v>45775</v>
      </c>
      <c r="D69" s="224">
        <f t="shared" si="28"/>
        <v>0</v>
      </c>
      <c r="E69" s="157">
        <f t="shared" si="29"/>
        <v>0</v>
      </c>
      <c r="F69" s="157">
        <f t="shared" si="30"/>
        <v>0</v>
      </c>
      <c r="G69" s="157">
        <f t="shared" si="31"/>
        <v>0</v>
      </c>
      <c r="H69" s="157">
        <f t="shared" si="32"/>
        <v>0</v>
      </c>
      <c r="I69" s="177"/>
      <c r="J69" s="178"/>
      <c r="K69" s="178"/>
      <c r="L69" s="178"/>
      <c r="M69" s="330"/>
      <c r="N69" s="177"/>
      <c r="O69" s="178"/>
      <c r="P69" s="178"/>
      <c r="Q69" s="178"/>
      <c r="R69" s="330"/>
      <c r="S69" s="177"/>
      <c r="T69" s="178"/>
      <c r="U69" s="178"/>
      <c r="V69" s="178"/>
      <c r="W69" s="330"/>
      <c r="X69" s="177"/>
      <c r="Y69" s="178"/>
      <c r="Z69" s="178"/>
      <c r="AA69" s="178"/>
      <c r="AB69" s="330"/>
      <c r="AC69" s="177"/>
      <c r="AD69" s="178"/>
      <c r="AE69" s="178"/>
      <c r="AF69" s="178"/>
      <c r="AG69" s="330"/>
      <c r="AH69" s="177"/>
      <c r="AI69" s="178"/>
      <c r="AJ69" s="178"/>
      <c r="AK69" s="178"/>
      <c r="AL69" s="330"/>
      <c r="AM69" s="320" t="s">
        <v>124</v>
      </c>
      <c r="AN69" s="321"/>
      <c r="AO69" s="321"/>
      <c r="AP69" s="321"/>
      <c r="AQ69" s="322"/>
      <c r="AR69" s="320" t="s">
        <v>124</v>
      </c>
      <c r="AS69" s="321"/>
      <c r="AT69" s="321"/>
      <c r="AU69" s="321"/>
      <c r="AV69" s="322"/>
      <c r="AW69" s="177"/>
      <c r="AX69" s="178"/>
      <c r="AY69" s="178"/>
      <c r="AZ69" s="178"/>
      <c r="BA69" s="330"/>
      <c r="BB69" s="320" t="s">
        <v>124</v>
      </c>
      <c r="BC69" s="321"/>
      <c r="BD69" s="321"/>
      <c r="BE69" s="321"/>
      <c r="BF69" s="322"/>
    </row>
    <row r="70" spans="2:58" x14ac:dyDescent="0.25">
      <c r="B70" s="227" t="s">
        <v>26</v>
      </c>
      <c r="C70" s="228">
        <f>C69+1</f>
        <v>45776</v>
      </c>
      <c r="D70" s="224">
        <f t="shared" si="28"/>
        <v>0</v>
      </c>
      <c r="E70" s="157">
        <f t="shared" si="29"/>
        <v>0</v>
      </c>
      <c r="F70" s="157">
        <f t="shared" si="30"/>
        <v>0</v>
      </c>
      <c r="G70" s="157">
        <f t="shared" si="31"/>
        <v>0</v>
      </c>
      <c r="H70" s="157">
        <f t="shared" si="32"/>
        <v>0</v>
      </c>
      <c r="I70" s="177"/>
      <c r="J70" s="178"/>
      <c r="K70" s="178"/>
      <c r="L70" s="178"/>
      <c r="M70" s="330"/>
      <c r="N70" s="177"/>
      <c r="O70" s="178"/>
      <c r="P70" s="178"/>
      <c r="Q70" s="178"/>
      <c r="R70" s="330"/>
      <c r="S70" s="177"/>
      <c r="T70" s="178"/>
      <c r="U70" s="178"/>
      <c r="V70" s="178"/>
      <c r="W70" s="330"/>
      <c r="X70" s="177"/>
      <c r="Y70" s="178"/>
      <c r="Z70" s="178"/>
      <c r="AA70" s="178"/>
      <c r="AB70" s="330"/>
      <c r="AC70" s="177"/>
      <c r="AD70" s="178"/>
      <c r="AE70" s="178"/>
      <c r="AF70" s="178"/>
      <c r="AG70" s="330"/>
      <c r="AH70" s="177"/>
      <c r="AI70" s="178"/>
      <c r="AJ70" s="178"/>
      <c r="AK70" s="178"/>
      <c r="AL70" s="330"/>
      <c r="AM70" s="323"/>
      <c r="AN70" s="324"/>
      <c r="AO70" s="324"/>
      <c r="AP70" s="324"/>
      <c r="AQ70" s="325"/>
      <c r="AR70" s="323"/>
      <c r="AS70" s="324"/>
      <c r="AT70" s="324"/>
      <c r="AU70" s="324"/>
      <c r="AV70" s="325"/>
      <c r="AW70" s="177"/>
      <c r="AX70" s="178"/>
      <c r="AY70" s="178"/>
      <c r="AZ70" s="178"/>
      <c r="BA70" s="330"/>
      <c r="BB70" s="323"/>
      <c r="BC70" s="324"/>
      <c r="BD70" s="324"/>
      <c r="BE70" s="324"/>
      <c r="BF70" s="325"/>
    </row>
    <row r="71" spans="2:58" ht="15.75" thickBot="1" x14ac:dyDescent="0.3">
      <c r="B71" s="227" t="s">
        <v>27</v>
      </c>
      <c r="C71" s="228">
        <f>C70+1</f>
        <v>45777</v>
      </c>
      <c r="D71" s="226">
        <f t="shared" si="28"/>
        <v>0</v>
      </c>
      <c r="E71" s="160">
        <f t="shared" si="29"/>
        <v>0</v>
      </c>
      <c r="F71" s="160">
        <f t="shared" si="30"/>
        <v>0</v>
      </c>
      <c r="G71" s="160">
        <f t="shared" si="31"/>
        <v>0</v>
      </c>
      <c r="H71" s="160">
        <f t="shared" si="32"/>
        <v>0</v>
      </c>
      <c r="I71" s="179"/>
      <c r="J71" s="180"/>
      <c r="K71" s="180"/>
      <c r="L71" s="180"/>
      <c r="M71" s="332"/>
      <c r="N71" s="179"/>
      <c r="O71" s="180"/>
      <c r="P71" s="180"/>
      <c r="Q71" s="180"/>
      <c r="R71" s="332"/>
      <c r="S71" s="179"/>
      <c r="T71" s="180"/>
      <c r="U71" s="180"/>
      <c r="V71" s="180"/>
      <c r="W71" s="332"/>
      <c r="X71" s="179"/>
      <c r="Y71" s="180"/>
      <c r="Z71" s="180"/>
      <c r="AA71" s="180"/>
      <c r="AB71" s="332"/>
      <c r="AC71" s="179"/>
      <c r="AD71" s="180"/>
      <c r="AE71" s="180"/>
      <c r="AF71" s="180"/>
      <c r="AG71" s="332"/>
      <c r="AH71" s="179"/>
      <c r="AI71" s="180"/>
      <c r="AJ71" s="180"/>
      <c r="AK71" s="180"/>
      <c r="AL71" s="332"/>
      <c r="AM71" s="326"/>
      <c r="AN71" s="327"/>
      <c r="AO71" s="327"/>
      <c r="AP71" s="327"/>
      <c r="AQ71" s="328"/>
      <c r="AR71" s="326"/>
      <c r="AS71" s="327"/>
      <c r="AT71" s="327"/>
      <c r="AU71" s="327"/>
      <c r="AV71" s="328"/>
      <c r="AW71" s="179"/>
      <c r="AX71" s="180"/>
      <c r="AY71" s="180"/>
      <c r="AZ71" s="180"/>
      <c r="BA71" s="332"/>
      <c r="BB71" s="326"/>
      <c r="BC71" s="327"/>
      <c r="BD71" s="327"/>
      <c r="BE71" s="327"/>
      <c r="BF71" s="328"/>
    </row>
  </sheetData>
  <mergeCells count="47">
    <mergeCell ref="AQ33:AQ43"/>
    <mergeCell ref="AV33:AV43"/>
    <mergeCell ref="BF33:BF43"/>
    <mergeCell ref="B14:C14"/>
    <mergeCell ref="B20:C20"/>
    <mergeCell ref="B26:C26"/>
    <mergeCell ref="B32:C32"/>
    <mergeCell ref="B38:C38"/>
    <mergeCell ref="M45:M61"/>
    <mergeCell ref="M63:M71"/>
    <mergeCell ref="R45:R61"/>
    <mergeCell ref="R63:R71"/>
    <mergeCell ref="W63:W71"/>
    <mergeCell ref="W45:W61"/>
    <mergeCell ref="B44:C44"/>
    <mergeCell ref="B50:C50"/>
    <mergeCell ref="B56:C56"/>
    <mergeCell ref="B62:C62"/>
    <mergeCell ref="B68:C68"/>
    <mergeCell ref="AB45:AB61"/>
    <mergeCell ref="AB63:AB71"/>
    <mergeCell ref="BA45:BA61"/>
    <mergeCell ref="BA63:BA71"/>
    <mergeCell ref="BF51:BF67"/>
    <mergeCell ref="AR69:AV71"/>
    <mergeCell ref="AQ51:AQ67"/>
    <mergeCell ref="AM69:AQ71"/>
    <mergeCell ref="AV51:AV67"/>
    <mergeCell ref="AL63:AL71"/>
    <mergeCell ref="AL51:AL61"/>
    <mergeCell ref="AG45:AG61"/>
    <mergeCell ref="AG63:AG71"/>
    <mergeCell ref="BB69:BF71"/>
    <mergeCell ref="B8:C8"/>
    <mergeCell ref="D2:BF3"/>
    <mergeCell ref="B7:C7"/>
    <mergeCell ref="B4:H6"/>
    <mergeCell ref="BB4:BF4"/>
    <mergeCell ref="AR4:AV4"/>
    <mergeCell ref="AW4:BA4"/>
    <mergeCell ref="AM4:AQ4"/>
    <mergeCell ref="AH4:AL4"/>
    <mergeCell ref="AC4:AG4"/>
    <mergeCell ref="I4:M4"/>
    <mergeCell ref="X4:AB4"/>
    <mergeCell ref="S4:W4"/>
    <mergeCell ref="N4:R4"/>
  </mergeCells>
  <conditionalFormatting sqref="B9:B13 B15:B19 B21:B25 B27:B31 B33:B37 B39:B43 B45:B49 B51:B55 B57:B61 B63:B67 B69:B71">
    <cfRule type="cellIs" dxfId="11" priority="26" operator="notEqual">
      <formula>"S"</formula>
    </cfRule>
    <cfRule type="cellIs" dxfId="10" priority="82" operator="equal">
      <formula>"S"</formula>
    </cfRule>
  </conditionalFormatting>
  <conditionalFormatting sqref="K9:L13 P9:Q13 U9:V13 Z9:AA13 AE9:AF13 AJ9:AK13 AO9:AP13 AT9:AU13 AY9:AZ13 K15:L19 P15:Q19 U15:V19 Z15:AA19 AE15:AF19 AJ15:AK19 AO15:AP19 AT15:AU19 AY15:AZ19 K21:L25 P21:Q25 U21:V25 Z21:AA25 AE21:AF25 AJ21:AK25 AO21:AP25 AT21:AU25 AY21:AZ25 AO27:AP27 K27:L31 P27:Q31 U27:V31 Z27:AA31 AE27:AF31 AJ27:AK31 AT27:AU31 AY27:AZ31 AP28 AO29:AP31 K33:L37 P33:Q37 U33:V37 Z33:AA37 AE33:AF37 AJ33:AK37 AY33:AZ37 AO33:AP43 AT33:AU43 K39:L43 P39:Q43 U39:V43 AE39:AF43 AJ39:AK43 AY39:AZ43 AJ45:AK49 AO45:AP68 AT45:AU68 K45:L71 P45:Q71 U45:V71 Z45:AA71 AE45:AF71 AY45:AZ71 AJ51:AK71">
    <cfRule type="cellIs" dxfId="9" priority="79" operator="greaterThan">
      <formula>0</formula>
    </cfRule>
  </conditionalFormatting>
  <conditionalFormatting sqref="AA39:AA40">
    <cfRule type="cellIs" dxfId="8" priority="1" operator="greaterThan">
      <formula>0</formula>
    </cfRule>
    <cfRule type="cellIs" dxfId="7" priority="2" operator="greaterThan">
      <formula>0</formula>
    </cfRule>
  </conditionalFormatting>
  <conditionalFormatting sqref="AO29:AP31 K9:L13 P9:Q13 U9:V13 Z9:AA13 AE9:AF13 AJ9:AK13 AO9:AP13 AT9:AU13 AY9:AZ13 K15:L19 P15:Q19 U15:V19 Z15:AA19 AE15:AF19 AJ15:AK19 AO15:AP19 AT15:AU19 AY15:AZ19 K21:L25 P21:Q25 U21:V25 Z21:AA25 AE21:AF25 AJ21:AK25 AO21:AP25 AT21:AU25 AY21:AZ25 AO27:AP27 K27:L31 P27:Q31 U27:V31 Z27:AA31 AE27:AF31 AJ27:AK31 AT27:AU31 AY27:AZ31 AP28 K33:L37 P33:Q37 U33:V37 Z33:AA37 AE33:AF37 AJ33:AK37 AY33:AZ37 AO33:AP43 AT33:AU43 K39:L43 P39:Q43 U39:V43 AE39:AF43 AJ39:AK43 AY39:AZ43 AJ45:AK49 AO45:AP68 AT45:AU68 K45:L71 P45:Q71 U45:V71 Z45:AA71 AE45:AF71 AY45:AZ71 AJ51:AK71">
    <cfRule type="cellIs" dxfId="6" priority="78" operator="greaterThan">
      <formula>0</formula>
    </cfRule>
  </conditionalFormatting>
  <conditionalFormatting sqref="AO31:AP31">
    <cfRule type="cellIs" dxfId="5" priority="18" operator="greaterThan">
      <formula>0</formula>
    </cfRule>
    <cfRule type="cellIs" dxfId="4" priority="19" operator="greaterThan">
      <formula>0</formula>
    </cfRule>
  </conditionalFormatting>
  <conditionalFormatting sqref="BD9:BE13 BD15:BE19 BD21:BE25 BD27:BE31">
    <cfRule type="cellIs" dxfId="3" priority="9" operator="greaterThan">
      <formula>0</formula>
    </cfRule>
    <cfRule type="cellIs" dxfId="2" priority="10" operator="greaterThan">
      <formula>0</formula>
    </cfRule>
  </conditionalFormatting>
  <conditionalFormatting sqref="BD33:BE43 BD45:BE68">
    <cfRule type="cellIs" dxfId="1" priority="3" operator="greaterThan">
      <formula>0</formula>
    </cfRule>
    <cfRule type="cellIs" dxfId="0" priority="4" operator="greaterThan">
      <formula>0</formula>
    </cfRule>
  </conditionalFormatting>
  <pageMargins left="0.25" right="0.25" top="1.5" bottom="0.25" header="0.5" footer="0.05"/>
  <pageSetup paperSize="122" scale="8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86EC-CFDA-4C89-A7F8-4E420C9BF6B3}">
  <dimension ref="B4:N16"/>
  <sheetViews>
    <sheetView workbookViewId="0">
      <selection activeCell="B7" sqref="B7"/>
    </sheetView>
  </sheetViews>
  <sheetFormatPr defaultColWidth="8.7109375" defaultRowHeight="15" x14ac:dyDescent="0.25"/>
  <cols>
    <col min="1" max="1" width="4.42578125" style="44" customWidth="1"/>
    <col min="2" max="2" width="6" style="44" bestFit="1" customWidth="1"/>
    <col min="3" max="3" width="11.42578125" style="44" customWidth="1"/>
    <col min="4" max="4" width="16.5703125" style="44" bestFit="1" customWidth="1"/>
    <col min="5" max="5" width="21.28515625" style="44" bestFit="1" customWidth="1"/>
    <col min="6" max="6" width="36.5703125" style="44" bestFit="1" customWidth="1"/>
    <col min="7" max="7" width="33.42578125" style="44" bestFit="1" customWidth="1"/>
    <col min="8" max="8" width="8.85546875" style="44" bestFit="1" customWidth="1"/>
    <col min="9" max="9" width="12.42578125" style="44" bestFit="1" customWidth="1"/>
    <col min="10" max="11" width="9.85546875" style="44" bestFit="1" customWidth="1"/>
    <col min="12" max="12" width="31.85546875" style="44" customWidth="1"/>
    <col min="13" max="13" width="11.42578125" style="44" customWidth="1"/>
    <col min="14" max="14" width="17.7109375" style="44" customWidth="1"/>
    <col min="15" max="16384" width="8.7109375" style="44"/>
  </cols>
  <sheetData>
    <row r="4" spans="2:14" x14ac:dyDescent="0.25">
      <c r="B4" s="45" t="s">
        <v>125</v>
      </c>
      <c r="C4" s="45" t="s">
        <v>126</v>
      </c>
      <c r="D4" s="45" t="s">
        <v>127</v>
      </c>
      <c r="E4" s="45" t="s">
        <v>128</v>
      </c>
      <c r="F4" s="45" t="s">
        <v>129</v>
      </c>
      <c r="G4" s="45" t="s">
        <v>130</v>
      </c>
      <c r="H4" s="45" t="s">
        <v>131</v>
      </c>
      <c r="I4" s="45" t="s">
        <v>132</v>
      </c>
      <c r="J4" s="45" t="s">
        <v>133</v>
      </c>
      <c r="K4" s="45" t="s">
        <v>134</v>
      </c>
      <c r="L4" s="45" t="s">
        <v>135</v>
      </c>
      <c r="M4" s="45" t="s">
        <v>136</v>
      </c>
      <c r="N4" s="45" t="s">
        <v>137</v>
      </c>
    </row>
    <row r="5" spans="2:14" x14ac:dyDescent="0.25">
      <c r="B5" s="43"/>
      <c r="C5" s="43"/>
      <c r="D5" s="43"/>
      <c r="E5" s="43"/>
      <c r="F5" s="43"/>
      <c r="G5" s="43"/>
      <c r="H5" s="43"/>
      <c r="I5" s="137"/>
      <c r="J5" s="43"/>
      <c r="K5" s="43"/>
      <c r="L5" s="43"/>
      <c r="M5" s="43"/>
      <c r="N5" s="43"/>
    </row>
    <row r="6" spans="2:14" x14ac:dyDescent="0.25">
      <c r="B6" s="43"/>
      <c r="C6" s="43"/>
      <c r="D6" s="43"/>
      <c r="E6" s="43"/>
      <c r="F6" s="138"/>
      <c r="G6" s="43"/>
      <c r="H6" s="43"/>
      <c r="I6" s="137"/>
      <c r="J6" s="137"/>
      <c r="K6" s="43"/>
      <c r="L6" s="43"/>
      <c r="M6" s="43"/>
      <c r="N6" s="137"/>
    </row>
    <row r="7" spans="2:14" x14ac:dyDescent="0.25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2:14" x14ac:dyDescent="0.25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2:14" x14ac:dyDescent="0.25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</row>
    <row r="10" spans="2:14" x14ac:dyDescent="0.25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</row>
    <row r="11" spans="2:14" x14ac:dyDescent="0.25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2:14" x14ac:dyDescent="0.25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2:14" x14ac:dyDescent="0.25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2:14" x14ac:dyDescent="0.25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2:14" x14ac:dyDescent="0.25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</row>
    <row r="16" spans="2:14" x14ac:dyDescent="0.25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286D331BDF44DA93F0CEB54643380" ma:contentTypeVersion="14" ma:contentTypeDescription="Create a new document." ma:contentTypeScope="" ma:versionID="2c2226c3c30fa693ad40dd4246b715ec">
  <xsd:schema xmlns:xsd="http://www.w3.org/2001/XMLSchema" xmlns:xs="http://www.w3.org/2001/XMLSchema" xmlns:p="http://schemas.microsoft.com/office/2006/metadata/properties" xmlns:ns2="3baf3022-8c79-4b8c-afd6-d5f894acc9bf" xmlns:ns3="2962e2e2-c06f-4ecb-b2f4-991eba36c131" targetNamespace="http://schemas.microsoft.com/office/2006/metadata/properties" ma:root="true" ma:fieldsID="fbbdb31ab7b91e1e513dca8848ea6bd5" ns2:_="" ns3:_="">
    <xsd:import namespace="3baf3022-8c79-4b8c-afd6-d5f894acc9bf"/>
    <xsd:import namespace="2962e2e2-c06f-4ecb-b2f4-991eba36c1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f3022-8c79-4b8c-afd6-d5f894ac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2e2e2-c06f-4ecb-b2f4-991eba36c13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713aa94-2a54-4180-b092-d77f1d297a2c}" ma:internalName="TaxCatchAll" ma:showField="CatchAllData" ma:web="2962e2e2-c06f-4ecb-b2f4-991eba36c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2e2e2-c06f-4ecb-b2f4-991eba36c131" xsi:nil="true"/>
    <lcf76f155ced4ddcb4097134ff3c332f xmlns="3baf3022-8c79-4b8c-afd6-d5f894acc9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F7009D-F6BE-4E0C-B7A6-E20E6FC08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A5B84B-4134-4A8F-BCA6-4F8361C18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f3022-8c79-4b8c-afd6-d5f894acc9bf"/>
    <ds:schemaRef ds:uri="2962e2e2-c06f-4ecb-b2f4-991eba36c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BA696B-D925-412F-B2F6-0384F0A7FE05}">
  <ds:schemaRefs>
    <ds:schemaRef ds:uri="http://schemas.microsoft.com/office/2006/metadata/properties"/>
    <ds:schemaRef ds:uri="http://purl.org/dc/terms/"/>
    <ds:schemaRef ds:uri="http://purl.org/dc/elements/1.1/"/>
    <ds:schemaRef ds:uri="3baf3022-8c79-4b8c-afd6-d5f894acc9bf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962e2e2-c06f-4ecb-b2f4-991eba36c131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Overall Summary Snapshot</vt:lpstr>
      <vt:lpstr>Detailed</vt:lpstr>
      <vt:lpstr>Detailed New-backup</vt:lpstr>
      <vt:lpstr>Detailed New</vt:lpstr>
      <vt:lpstr>Risks</vt:lpstr>
      <vt:lpstr>'Detailed New'!Print_Area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Transition Dashboard</dc:title>
  <dc:subject/>
  <dc:creator>koshy.santosh@tcs.com</dc:creator>
  <cp:keywords>PHINIA</cp:keywords>
  <dc:description/>
  <cp:lastModifiedBy>Sateesh Godasi</cp:lastModifiedBy>
  <cp:revision/>
  <dcterms:created xsi:type="dcterms:W3CDTF">2025-02-17T05:55:23Z</dcterms:created>
  <dcterms:modified xsi:type="dcterms:W3CDTF">2025-12-05T05:38:42Z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0x010100E01286D331BDF44DA93F0CEB54643380</vt:lpwstr>
  </property>
  <property fmtid="{D5CDD505-2E9C-101B-9397-08002B2CF9AE}" pid="3" name="MediaServiceImageTags">
    <vt:lpwstr/>
  </property>
</Properties>
</file>